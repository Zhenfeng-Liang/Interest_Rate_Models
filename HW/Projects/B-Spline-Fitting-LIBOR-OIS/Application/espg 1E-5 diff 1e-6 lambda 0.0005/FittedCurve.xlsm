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Zhenfeng\Desktop\InterestRateResult\Trial3(espg 1E-5 diff 1e-6 lambda 0.0005)\"/>
    </mc:Choice>
  </mc:AlternateContent>
  <bookViews>
    <workbookView xWindow="0" yWindow="0" windowWidth="24000" windowHeight="9735" activeTab="2"/>
  </bookViews>
  <sheets>
    <sheet name="Dates" sheetId="1" r:id="rId1"/>
    <sheet name="3M LIBOR  OIS" sheetId="2" r:id="rId2"/>
    <sheet name="Output" sheetId="3" r:id="rId3"/>
  </sheets>
  <calcPr calcId="152511"/>
</workbook>
</file>

<file path=xl/calcChain.xml><?xml version="1.0" encoding="utf-8"?>
<calcChain xmlns="http://schemas.openxmlformats.org/spreadsheetml/2006/main">
  <c r="J35" i="2" l="1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34" i="2"/>
  <c r="J30" i="2"/>
  <c r="I30" i="2"/>
  <c r="I18" i="2"/>
  <c r="I19" i="2"/>
  <c r="I20" i="2"/>
  <c r="I21" i="2"/>
  <c r="I22" i="2"/>
  <c r="I23" i="2"/>
  <c r="I24" i="2"/>
  <c r="I25" i="2"/>
  <c r="I26" i="2"/>
  <c r="I27" i="2"/>
  <c r="I17" i="2"/>
  <c r="J8" i="2"/>
  <c r="J9" i="2"/>
  <c r="J10" i="2"/>
  <c r="J11" i="2"/>
  <c r="J12" i="2"/>
  <c r="J13" i="2"/>
  <c r="J14" i="2"/>
  <c r="J7" i="2"/>
  <c r="I8" i="2"/>
  <c r="I9" i="2"/>
  <c r="I10" i="2"/>
  <c r="I11" i="2"/>
  <c r="I12" i="2"/>
  <c r="I13" i="2"/>
  <c r="I14" i="2"/>
  <c r="I7" i="2"/>
  <c r="J4" i="2"/>
  <c r="J3" i="2"/>
  <c r="I4" i="2"/>
  <c r="I3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34" i="2"/>
  <c r="J17" i="2"/>
  <c r="J18" i="2"/>
  <c r="J19" i="2"/>
  <c r="J20" i="2"/>
  <c r="J21" i="2"/>
  <c r="J22" i="2"/>
  <c r="J23" i="2"/>
  <c r="J24" i="2"/>
  <c r="J25" i="2"/>
  <c r="J26" i="2"/>
  <c r="J27" i="2"/>
  <c r="G8" i="2"/>
  <c r="G9" i="2"/>
  <c r="G10" i="2"/>
  <c r="G11" i="2"/>
  <c r="G12" i="2"/>
  <c r="G13" i="2"/>
  <c r="G14" i="2"/>
  <c r="G7" i="2"/>
  <c r="P3" i="3"/>
  <c r="P4" i="3"/>
  <c r="P6" i="3"/>
  <c r="D6" i="3"/>
  <c r="N12" i="3"/>
  <c r="O11" i="3"/>
  <c r="D10" i="3"/>
  <c r="N3" i="3"/>
  <c r="O9" i="3"/>
  <c r="N6" i="3"/>
  <c r="D16" i="3"/>
  <c r="O12" i="3"/>
  <c r="D18" i="3"/>
  <c r="P12" i="3"/>
  <c r="P10" i="3"/>
  <c r="D7" i="3"/>
  <c r="N11" i="3"/>
  <c r="D19" i="3"/>
  <c r="D11" i="3"/>
  <c r="O4" i="3"/>
  <c r="D21" i="3"/>
  <c r="D13" i="3"/>
  <c r="O6" i="3"/>
  <c r="P7" i="3"/>
  <c r="P11" i="3"/>
  <c r="P5" i="3"/>
  <c r="P2" i="3"/>
  <c r="D8" i="3"/>
  <c r="O5" i="3"/>
  <c r="O10" i="3"/>
  <c r="D12" i="3"/>
  <c r="N2" i="3"/>
  <c r="D20" i="3"/>
  <c r="D14" i="3"/>
  <c r="N4" i="3"/>
  <c r="N7" i="3"/>
  <c r="N8" i="3"/>
  <c r="D5" i="3"/>
  <c r="D9" i="3"/>
  <c r="O7" i="3"/>
  <c r="D15" i="3"/>
  <c r="N9" i="3"/>
  <c r="N10" i="3"/>
  <c r="O8" i="3"/>
  <c r="P8" i="3"/>
  <c r="P9" i="3"/>
  <c r="D17" i="3"/>
  <c r="N5" i="3"/>
  <c r="D4" i="3"/>
  <c r="O3" i="3"/>
  <c r="O2" i="3"/>
  <c r="A4" i="3" a="1"/>
  <c r="B5" i="3" l="1"/>
  <c r="B7" i="3"/>
  <c r="B9" i="3"/>
  <c r="B11" i="3"/>
  <c r="B13" i="3"/>
  <c r="B15" i="3"/>
  <c r="B17" i="3"/>
  <c r="B19" i="3"/>
  <c r="B21" i="3"/>
  <c r="A6" i="3"/>
  <c r="A12" i="3"/>
  <c r="A16" i="3"/>
  <c r="A20" i="3"/>
  <c r="B8" i="3"/>
  <c r="B12" i="3"/>
  <c r="B14" i="3"/>
  <c r="B18" i="3"/>
  <c r="A4" i="3"/>
  <c r="B4" i="3"/>
  <c r="A5" i="3"/>
  <c r="A7" i="3"/>
  <c r="A9" i="3"/>
  <c r="A11" i="3"/>
  <c r="A13" i="3"/>
  <c r="A15" i="3"/>
  <c r="A17" i="3"/>
  <c r="A19" i="3"/>
  <c r="A21" i="3"/>
  <c r="A8" i="3"/>
  <c r="A10" i="3"/>
  <c r="A14" i="3"/>
  <c r="A18" i="3"/>
  <c r="B6" i="3"/>
  <c r="B10" i="3"/>
  <c r="B16" i="3"/>
  <c r="B20" i="3"/>
  <c r="Q11" i="3"/>
  <c r="I54" i="3"/>
  <c r="I4" i="3"/>
  <c r="H11" i="3"/>
  <c r="K19" i="3"/>
  <c r="K39" i="3"/>
  <c r="H35" i="3"/>
  <c r="I14" i="3"/>
  <c r="H19" i="3"/>
  <c r="I45" i="3"/>
  <c r="H40" i="3"/>
  <c r="I39" i="3"/>
  <c r="Q3" i="3"/>
  <c r="I26" i="3"/>
  <c r="L56" i="3"/>
  <c r="H13" i="3"/>
  <c r="I59" i="3"/>
  <c r="H14" i="3"/>
  <c r="L43" i="3"/>
  <c r="L12" i="3"/>
  <c r="L31" i="3"/>
  <c r="K24" i="3"/>
  <c r="L42" i="3"/>
  <c r="H27" i="3"/>
  <c r="Q8" i="3"/>
  <c r="L34" i="3"/>
  <c r="H16" i="3"/>
  <c r="K10" i="3"/>
  <c r="L53" i="3"/>
  <c r="K49" i="3"/>
  <c r="L27" i="3"/>
  <c r="H47" i="3"/>
  <c r="H52" i="3"/>
  <c r="I5" i="3"/>
  <c r="Q5" i="3"/>
  <c r="K29" i="3"/>
  <c r="S10" i="3"/>
  <c r="K51" i="3"/>
  <c r="I36" i="3"/>
  <c r="L10" i="3"/>
  <c r="K59" i="3"/>
  <c r="I23" i="3"/>
  <c r="H4" i="3"/>
  <c r="H38" i="3"/>
  <c r="K31" i="3"/>
  <c r="K58" i="3"/>
  <c r="K35" i="3"/>
  <c r="I41" i="3"/>
  <c r="K53" i="3"/>
  <c r="I43" i="3"/>
  <c r="L37" i="3"/>
  <c r="I40" i="3"/>
  <c r="L33" i="3"/>
  <c r="H60" i="3"/>
  <c r="L48" i="3"/>
  <c r="I52" i="3"/>
  <c r="H21" i="3"/>
  <c r="I32" i="3"/>
  <c r="Q6" i="3"/>
  <c r="I9" i="3"/>
  <c r="L26" i="3"/>
  <c r="L55" i="3"/>
  <c r="H25" i="3"/>
  <c r="H51" i="3"/>
  <c r="L30" i="3"/>
  <c r="I31" i="3"/>
  <c r="I3" i="3"/>
  <c r="L7" i="3"/>
  <c r="H61" i="3"/>
  <c r="H36" i="3"/>
  <c r="S7" i="3"/>
  <c r="L32" i="3"/>
  <c r="I11" i="3"/>
  <c r="I44" i="3"/>
  <c r="L4" i="3"/>
  <c r="K46" i="3"/>
  <c r="I60" i="3"/>
  <c r="H20" i="3"/>
  <c r="I19" i="3"/>
  <c r="K26" i="3"/>
  <c r="L41" i="3"/>
  <c r="I13" i="3"/>
  <c r="S12" i="3"/>
  <c r="H6" i="3"/>
  <c r="K41" i="3"/>
  <c r="H30" i="3"/>
  <c r="K43" i="3"/>
  <c r="I42" i="3"/>
  <c r="L58" i="3"/>
  <c r="Q7" i="3"/>
  <c r="I56" i="3"/>
  <c r="L38" i="3"/>
  <c r="L60" i="3"/>
  <c r="L13" i="3"/>
  <c r="H12" i="3"/>
  <c r="K27" i="3"/>
  <c r="I15" i="3"/>
  <c r="K57" i="3"/>
  <c r="K17" i="3"/>
  <c r="I55" i="3"/>
  <c r="I48" i="3"/>
  <c r="K11" i="3"/>
  <c r="K48" i="3"/>
  <c r="L16" i="3"/>
  <c r="H42" i="3"/>
  <c r="K55" i="3"/>
  <c r="S2" i="3"/>
  <c r="I58" i="3"/>
  <c r="L52" i="3"/>
  <c r="L51" i="3"/>
  <c r="L5" i="3"/>
  <c r="L54" i="3"/>
  <c r="L25" i="3"/>
  <c r="I25" i="3"/>
  <c r="H39" i="3"/>
  <c r="H18" i="3"/>
  <c r="I38" i="3"/>
  <c r="K38" i="3"/>
  <c r="I10" i="3"/>
  <c r="I2" i="3"/>
  <c r="K52" i="3"/>
  <c r="L17" i="3"/>
  <c r="L44" i="3"/>
  <c r="K44" i="3"/>
  <c r="K34" i="3"/>
  <c r="S8" i="3"/>
  <c r="I35" i="3"/>
  <c r="H50" i="3"/>
  <c r="I21" i="3"/>
  <c r="L61" i="3"/>
  <c r="I50" i="3"/>
  <c r="K36" i="3"/>
  <c r="K20" i="3"/>
  <c r="H29" i="3"/>
  <c r="S3" i="3"/>
  <c r="L9" i="3"/>
  <c r="Q4" i="3"/>
  <c r="L19" i="3"/>
  <c r="K47" i="3"/>
  <c r="K9" i="3"/>
  <c r="H54" i="3"/>
  <c r="K37" i="3"/>
  <c r="I7" i="3"/>
  <c r="L24" i="3"/>
  <c r="L57" i="3"/>
  <c r="H58" i="3"/>
  <c r="I28" i="3"/>
  <c r="I22" i="3"/>
  <c r="I49" i="3"/>
  <c r="L22" i="3"/>
  <c r="L59" i="3"/>
  <c r="L35" i="3"/>
  <c r="K33" i="3"/>
  <c r="I37" i="3"/>
  <c r="I33" i="3"/>
  <c r="I18" i="3"/>
  <c r="H44" i="3"/>
  <c r="H48" i="3"/>
  <c r="H43" i="3"/>
  <c r="I61" i="3"/>
  <c r="I27" i="3"/>
  <c r="K8" i="3"/>
  <c r="L49" i="3"/>
  <c r="H49" i="3"/>
  <c r="K13" i="3"/>
  <c r="L39" i="3"/>
  <c r="L29" i="3"/>
  <c r="L11" i="3"/>
  <c r="I8" i="3"/>
  <c r="L36" i="3"/>
  <c r="K12" i="3"/>
  <c r="L18" i="3"/>
  <c r="L47" i="3"/>
  <c r="H33" i="3"/>
  <c r="H17" i="3"/>
  <c r="K3" i="3"/>
  <c r="H55" i="3"/>
  <c r="K40" i="3"/>
  <c r="H26" i="3"/>
  <c r="K45" i="3"/>
  <c r="K16" i="3"/>
  <c r="L50" i="3"/>
  <c r="H5" i="3"/>
  <c r="L15" i="3"/>
  <c r="I29" i="3"/>
  <c r="K28" i="3"/>
  <c r="L46" i="3"/>
  <c r="I53" i="3"/>
  <c r="K30" i="3"/>
  <c r="L45" i="3"/>
  <c r="K25" i="3"/>
  <c r="I6" i="3"/>
  <c r="L6" i="3"/>
  <c r="Q2" i="3"/>
  <c r="K42" i="3"/>
  <c r="L23" i="3"/>
  <c r="H57" i="3"/>
  <c r="I12" i="3"/>
  <c r="K7" i="3"/>
  <c r="L2" i="3"/>
  <c r="H46" i="3"/>
  <c r="H8" i="3"/>
  <c r="I34" i="3"/>
  <c r="H41" i="3"/>
  <c r="K4" i="3"/>
  <c r="S9" i="3"/>
  <c r="I30" i="3"/>
  <c r="H23" i="3"/>
  <c r="I24" i="3"/>
  <c r="K32" i="3"/>
  <c r="K50" i="3"/>
  <c r="K60" i="3"/>
  <c r="K61" i="3"/>
  <c r="H59" i="3"/>
  <c r="K18" i="3"/>
  <c r="H37" i="3"/>
  <c r="I16" i="3"/>
  <c r="I51" i="3"/>
  <c r="K5" i="3"/>
  <c r="I47" i="3"/>
  <c r="H45" i="3"/>
  <c r="H24" i="3"/>
  <c r="S5" i="3"/>
  <c r="I17" i="3"/>
  <c r="K23" i="3"/>
  <c r="K22" i="3"/>
  <c r="H15" i="3"/>
  <c r="I20" i="3"/>
  <c r="H31" i="3"/>
  <c r="K15" i="3"/>
  <c r="I57" i="3"/>
  <c r="H9" i="3"/>
  <c r="I46" i="3"/>
  <c r="K14" i="3"/>
  <c r="H22" i="3"/>
  <c r="H32" i="3"/>
  <c r="S6" i="3"/>
  <c r="K54" i="3"/>
  <c r="H3" i="3"/>
  <c r="L21" i="3"/>
  <c r="K6" i="3"/>
  <c r="Q9" i="3"/>
  <c r="S11" i="3"/>
  <c r="H10" i="3"/>
  <c r="Q10" i="3"/>
  <c r="L28" i="3"/>
  <c r="L40" i="3"/>
  <c r="H34" i="3"/>
  <c r="H53" i="3"/>
  <c r="L8" i="3"/>
  <c r="Q12" i="3"/>
  <c r="H7" i="3"/>
  <c r="K56" i="3"/>
  <c r="L3" i="3"/>
  <c r="L14" i="3"/>
  <c r="K21" i="3"/>
  <c r="S4" i="3"/>
  <c r="H56" i="3"/>
  <c r="K2" i="3"/>
  <c r="L20" i="3"/>
  <c r="H28" i="3"/>
  <c r="J48" i="3" l="1"/>
  <c r="J28" i="3"/>
  <c r="R9" i="3"/>
  <c r="J54" i="3"/>
  <c r="R6" i="3"/>
  <c r="J44" i="3"/>
  <c r="J3" i="3"/>
  <c r="R4" i="3"/>
  <c r="J5" i="3"/>
  <c r="J29" i="3"/>
  <c r="J21" i="3"/>
  <c r="J58" i="3"/>
  <c r="J56" i="3"/>
  <c r="J60" i="3"/>
  <c r="J32" i="3"/>
  <c r="J50" i="3"/>
  <c r="J22" i="3"/>
  <c r="J26" i="3"/>
  <c r="J9" i="3"/>
  <c r="J55" i="3"/>
  <c r="J38" i="3"/>
  <c r="J31" i="3"/>
  <c r="J4" i="3"/>
  <c r="J15" i="3"/>
  <c r="J17" i="3"/>
  <c r="J33" i="3"/>
  <c r="J18" i="3"/>
  <c r="J39" i="3"/>
  <c r="J24" i="3"/>
  <c r="J36" i="3"/>
  <c r="J45" i="3"/>
  <c r="R5" i="3"/>
  <c r="J7" i="3"/>
  <c r="J52" i="3"/>
  <c r="J61" i="3"/>
  <c r="J47" i="3"/>
  <c r="J37" i="3"/>
  <c r="R12" i="3"/>
  <c r="J59" i="3"/>
  <c r="J42" i="3"/>
  <c r="J16" i="3"/>
  <c r="R8" i="3"/>
  <c r="J27" i="3"/>
  <c r="J53" i="3"/>
  <c r="J23" i="3"/>
  <c r="J34" i="3"/>
  <c r="J41" i="3"/>
  <c r="J12" i="3"/>
  <c r="J14" i="3"/>
  <c r="J8" i="3"/>
  <c r="J13" i="3"/>
  <c r="J46" i="3"/>
  <c r="J49" i="3"/>
  <c r="J51" i="3"/>
  <c r="R7" i="3"/>
  <c r="R3" i="3"/>
  <c r="J57" i="3"/>
  <c r="J40" i="3"/>
  <c r="J25" i="3"/>
  <c r="J30" i="3"/>
  <c r="J19" i="3"/>
  <c r="R2" i="3"/>
  <c r="J6" i="3"/>
  <c r="R10" i="3"/>
  <c r="J35" i="3"/>
  <c r="J43" i="3"/>
  <c r="J10" i="3"/>
  <c r="J11" i="3"/>
  <c r="J20" i="3"/>
  <c r="R11" i="3"/>
  <c r="H2" i="3"/>
  <c r="J2" i="3" l="1"/>
</calcChain>
</file>

<file path=xl/sharedStrings.xml><?xml version="1.0" encoding="utf-8"?>
<sst xmlns="http://schemas.openxmlformats.org/spreadsheetml/2006/main" count="95" uniqueCount="77">
  <si>
    <t>Spot Date</t>
  </si>
  <si>
    <t>Instrument</t>
  </si>
  <si>
    <t>End Date</t>
  </si>
  <si>
    <t>Rate</t>
  </si>
  <si>
    <t>USD O/N</t>
  </si>
  <si>
    <t>USD 3M</t>
  </si>
  <si>
    <t>Price</t>
  </si>
  <si>
    <t>EDZ11</t>
  </si>
  <si>
    <t>EDH12</t>
  </si>
  <si>
    <t>EDM12</t>
  </si>
  <si>
    <t>EDU12</t>
  </si>
  <si>
    <t>EDZ12</t>
  </si>
  <si>
    <t>EDH13</t>
  </si>
  <si>
    <t>EDM13</t>
  </si>
  <si>
    <t>EDU13</t>
  </si>
  <si>
    <t>Swap Rates</t>
  </si>
  <si>
    <t>USD SWAP 02Y</t>
  </si>
  <si>
    <t>USD SWAP 03Y</t>
  </si>
  <si>
    <t>USD SWAP 04Y</t>
  </si>
  <si>
    <t>USD SWAP 05Y</t>
  </si>
  <si>
    <t>USD SWAP 07Y</t>
  </si>
  <si>
    <t>USD SWAP 10Y</t>
  </si>
  <si>
    <t>USD SWAP 12Y</t>
  </si>
  <si>
    <t>USD SWAP 15Y</t>
  </si>
  <si>
    <t>USD SWAP 20Y</t>
  </si>
  <si>
    <t>USD SWAP 25Y</t>
  </si>
  <si>
    <t>USD SWAP 30Y</t>
  </si>
  <si>
    <t>Basis Swap Rates</t>
  </si>
  <si>
    <t>IMM date</t>
  </si>
  <si>
    <t>LIBOR</t>
  </si>
  <si>
    <t>ED Futures</t>
  </si>
  <si>
    <t>Start Date</t>
  </si>
  <si>
    <t>Basis (bp)</t>
  </si>
  <si>
    <t>Conv. Adj. (bp)</t>
  </si>
  <si>
    <t>3M L vs FF 3M Swap</t>
  </si>
  <si>
    <t>3M L vs FF 6M Swap</t>
  </si>
  <si>
    <t>3M L vs FF 9M Swap</t>
  </si>
  <si>
    <t>3M L vs FF 18M Swap</t>
  </si>
  <si>
    <t>3M L vs FF 5Y Swap</t>
  </si>
  <si>
    <t>3M L vs FF 7Y Swap</t>
  </si>
  <si>
    <t>3M L vs FF 10Y Swap</t>
  </si>
  <si>
    <t>3M L vs FF 12Y Swap</t>
  </si>
  <si>
    <t>3M L vs FF 15Y Swap</t>
  </si>
  <si>
    <t>3M L vs FF 20Y Swap</t>
  </si>
  <si>
    <t>3M L vs FF 25Y Swap</t>
  </si>
  <si>
    <t>3M L vs FF 30Y Swap</t>
  </si>
  <si>
    <t>3M L vs FF 1Y Swap</t>
  </si>
  <si>
    <t>3M L vs FF 2Y Swap</t>
  </si>
  <si>
    <t>3M L vs FF 3Y Swap</t>
  </si>
  <si>
    <t>3ML vs FF 4Y Swap</t>
  </si>
  <si>
    <t>Fed Funds Eff Rate</t>
  </si>
  <si>
    <t>Fed Funds</t>
  </si>
  <si>
    <t>Value Date</t>
  </si>
  <si>
    <t>End date</t>
  </si>
  <si>
    <t>Value date:</t>
  </si>
  <si>
    <t>Quote</t>
  </si>
  <si>
    <t xml:space="preserve">Input: </t>
  </si>
  <si>
    <t xml:space="preserve">Output sheet: </t>
  </si>
  <si>
    <t>Knot points</t>
  </si>
  <si>
    <t>Coefficient guess</t>
  </si>
  <si>
    <t>OIS</t>
  </si>
  <si>
    <t>Fitted curves coefficients</t>
  </si>
  <si>
    <t>act/360</t>
  </si>
  <si>
    <t>30/360</t>
  </si>
  <si>
    <t>Knot Points</t>
  </si>
  <si>
    <t>t (year)</t>
  </si>
  <si>
    <t>Instantaneous rate(LIBOR)</t>
  </si>
  <si>
    <t>Instantaneous rate (OIS)</t>
  </si>
  <si>
    <t>LIBOR/OIS spread</t>
  </si>
  <si>
    <t>3M LIBOR Forward</t>
  </si>
  <si>
    <t>Discount factor to value date</t>
  </si>
  <si>
    <t>Swap Start Date</t>
  </si>
  <si>
    <t>Swap End Date</t>
  </si>
  <si>
    <t>Market Swap Rate</t>
  </si>
  <si>
    <t>Model Swap Rate</t>
  </si>
  <si>
    <t>Swap PV</t>
  </si>
  <si>
    <t>Market - Model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</si>
</sst>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000"/>
  </numFmts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10" fontId="0" fillId="0" borderId="0" xfId="0" applyNumberFormat="1"/>
    <xf numFmtId="11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  <xf numFmtId="164" fontId="3" fillId="0" borderId="0" xfId="0" applyNumberFormat="1" applyFont="1"/>
    <xf numFmtId="165" fontId="0" fillId="0" borderId="0" xfId="0" applyNumberFormat="1"/>
    <xf numFmtId="0" fontId="2" fillId="0" borderId="1" xfId="0" applyFont="1" applyBorder="1"/>
    <xf numFmtId="0" fontId="2" fillId="2" borderId="1" xfId="0" applyFont="1" applyFill="1" applyBorder="1"/>
    <xf numFmtId="0" fontId="0" fillId="0" borderId="2" xfId="0" applyBorder="1"/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NumberFormat="1"/>
    <xf numFmtId="0" fontId="0" fillId="3" borderId="0" xfId="0" applyFill="1"/>
    <xf numFmtId="0" fontId="5" fillId="0" borderId="0" xfId="0" applyFont="1"/>
    <xf numFmtId="0" fontId="5" fillId="0" borderId="0" xfId="0" applyFont="1" applyAlignment="1">
      <alignment horizontal="center"/>
    </xf>
    <xf numFmtId="0" fontId="0" fillId="3" borderId="0" xfId="0" applyNumberFormat="1" applyFill="1"/>
    <xf numFmtId="0" fontId="4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6" fillId="4" borderId="0" xfId="0" applyFont="1" applyFill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4" borderId="0" xfId="1" applyNumberFormat="1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Instantaneous Rate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Output!$H$1</c:f>
              <c:strCache>
                <c:ptCount val="1"/>
                <c:pt idx="0">
                  <c:v>Instantaneous rate(LIBOR)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Output!$G$2:$G$63</c:f>
              <c:numCache>
                <c:formatCode>General</c:formatCode>
                <c:ptCount val="6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Output!$H$2:$H$63</c:f>
              <c:numCache>
                <c:formatCode>General</c:formatCode>
                <c:ptCount val="62"/>
                <c:pt idx="0">
                  <c:v>6.7194973962678073E-3</c:v>
                </c:pt>
                <c:pt idx="1">
                  <c:v>7.0551377389263667E-3</c:v>
                </c:pt>
                <c:pt idx="2">
                  <c:v>6.9497520589644982E-3</c:v>
                </c:pt>
                <c:pt idx="3">
                  <c:v>7.538170459331528E-3</c:v>
                </c:pt>
                <c:pt idx="4">
                  <c:v>9.6547548000860198E-3</c:v>
                </c:pt>
                <c:pt idx="5">
                  <c:v>1.2931993969723493E-2</c:v>
                </c:pt>
                <c:pt idx="6">
                  <c:v>1.6701908613848696E-2</c:v>
                </c:pt>
                <c:pt idx="7">
                  <c:v>2.0296519378066397E-2</c:v>
                </c:pt>
                <c:pt idx="8">
                  <c:v>2.3182037469111891E-2</c:v>
                </c:pt>
                <c:pt idx="9">
                  <c:v>2.5361436338242678E-2</c:v>
                </c:pt>
                <c:pt idx="10">
                  <c:v>2.6971879997846851E-2</c:v>
                </c:pt>
                <c:pt idx="11">
                  <c:v>2.815053246031245E-2</c:v>
                </c:pt>
                <c:pt idx="12">
                  <c:v>2.9034557738027555E-2</c:v>
                </c:pt>
                <c:pt idx="13">
                  <c:v>2.9761119843380215E-2</c:v>
                </c:pt>
                <c:pt idx="14">
                  <c:v>3.0444252691933103E-2</c:v>
                </c:pt>
                <c:pt idx="15">
                  <c:v>3.110546981194726E-2</c:v>
                </c:pt>
                <c:pt idx="16">
                  <c:v>3.1743154634858363E-2</c:v>
                </c:pt>
                <c:pt idx="17">
                  <c:v>3.2355690592102054E-2</c:v>
                </c:pt>
                <c:pt idx="18">
                  <c:v>3.2941461115113993E-2</c:v>
                </c:pt>
                <c:pt idx="19">
                  <c:v>3.3498849635329835E-2</c:v>
                </c:pt>
                <c:pt idx="20">
                  <c:v>3.4016435832089076E-2</c:v>
                </c:pt>
                <c:pt idx="21">
                  <c:v>3.4443584376346717E-2</c:v>
                </c:pt>
                <c:pt idx="22">
                  <c:v>3.4719856186961544E-2</c:v>
                </c:pt>
                <c:pt idx="23">
                  <c:v>3.4784812182792405E-2</c:v>
                </c:pt>
                <c:pt idx="24">
                  <c:v>3.459803289482459E-2</c:v>
                </c:pt>
                <c:pt idx="25">
                  <c:v>3.4199177302549358E-2</c:v>
                </c:pt>
                <c:pt idx="26">
                  <c:v>3.3647923997584511E-2</c:v>
                </c:pt>
                <c:pt idx="27">
                  <c:v>3.3003951571547806E-2</c:v>
                </c:pt>
                <c:pt idx="28">
                  <c:v>3.232693861605699E-2</c:v>
                </c:pt>
                <c:pt idx="29">
                  <c:v>3.1676563722729825E-2</c:v>
                </c:pt>
                <c:pt idx="30">
                  <c:v>3.1102457821683731E-2</c:v>
                </c:pt>
                <c:pt idx="31">
                  <c:v>3.0614061197034737E-2</c:v>
                </c:pt>
                <c:pt idx="32">
                  <c:v>3.0210766471398486E-2</c:v>
                </c:pt>
                <c:pt idx="33">
                  <c:v>2.9891966267390671E-2</c:v>
                </c:pt>
                <c:pt idx="34">
                  <c:v>2.9657053207626936E-2</c:v>
                </c:pt>
                <c:pt idx="35">
                  <c:v>2.9505419914722972E-2</c:v>
                </c:pt>
                <c:pt idx="36">
                  <c:v>2.9436459011294429E-2</c:v>
                </c:pt>
                <c:pt idx="37">
                  <c:v>2.944956311995699E-2</c:v>
                </c:pt>
                <c:pt idx="38">
                  <c:v>2.9544124863326308E-2</c:v>
                </c:pt>
                <c:pt idx="39">
                  <c:v>2.9719536864018053E-2</c:v>
                </c:pt>
                <c:pt idx="40">
                  <c:v>2.9971034599323834E-2</c:v>
                </c:pt>
                <c:pt idx="41">
                  <c:v>3.0277224965238884E-2</c:v>
                </c:pt>
                <c:pt idx="42">
                  <c:v>3.0612557712434412E-2</c:v>
                </c:pt>
                <c:pt idx="43">
                  <c:v>3.0951482591581606E-2</c:v>
                </c:pt>
                <c:pt idx="44">
                  <c:v>3.126844935335165E-2</c:v>
                </c:pt>
                <c:pt idx="45">
                  <c:v>3.1537907748415736E-2</c:v>
                </c:pt>
                <c:pt idx="46">
                  <c:v>3.1734307527445042E-2</c:v>
                </c:pt>
                <c:pt idx="47">
                  <c:v>3.1832098441110776E-2</c:v>
                </c:pt>
                <c:pt idx="48">
                  <c:v>3.1805730240084103E-2</c:v>
                </c:pt>
                <c:pt idx="49">
                  <c:v>3.1629652675036216E-2</c:v>
                </c:pt>
                <c:pt idx="50">
                  <c:v>3.1286150878486262E-2</c:v>
                </c:pt>
                <c:pt idx="51">
                  <c:v>3.0788851510345126E-2</c:v>
                </c:pt>
                <c:pt idx="52">
                  <c:v>3.0159216612371649E-2</c:v>
                </c:pt>
                <c:pt idx="53">
                  <c:v>2.9418708226324686E-2</c:v>
                </c:pt>
                <c:pt idx="54">
                  <c:v>2.8588788393963071E-2</c:v>
                </c:pt>
                <c:pt idx="55">
                  <c:v>2.7690919157045649E-2</c:v>
                </c:pt>
                <c:pt idx="56">
                  <c:v>2.6746562557331256E-2</c:v>
                </c:pt>
                <c:pt idx="57">
                  <c:v>2.5777180636578748E-2</c:v>
                </c:pt>
                <c:pt idx="58">
                  <c:v>2.4804235436546959E-2</c:v>
                </c:pt>
                <c:pt idx="59">
                  <c:v>2.3849188998994731E-2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Output!$I$1</c:f>
              <c:strCache>
                <c:ptCount val="1"/>
                <c:pt idx="0">
                  <c:v>Instantaneous rate (OIS)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Output!$G$2:$G$63</c:f>
              <c:numCache>
                <c:formatCode>General</c:formatCode>
                <c:ptCount val="6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Output!$I$2:$I$63</c:f>
              <c:numCache>
                <c:formatCode>General</c:formatCode>
                <c:ptCount val="62"/>
                <c:pt idx="0">
                  <c:v>1.3187903403418454E-3</c:v>
                </c:pt>
                <c:pt idx="1">
                  <c:v>1.4722107409612401E-3</c:v>
                </c:pt>
                <c:pt idx="2">
                  <c:v>1.4836959251785433E-3</c:v>
                </c:pt>
                <c:pt idx="3">
                  <c:v>2.3615177735041102E-3</c:v>
                </c:pt>
                <c:pt idx="4">
                  <c:v>4.8302161136922804E-3</c:v>
                </c:pt>
                <c:pt idx="5">
                  <c:v>8.4794025624733271E-3</c:v>
                </c:pt>
                <c:pt idx="6">
                  <c:v>1.26149566838215E-2</c:v>
                </c:pt>
                <c:pt idx="7">
                  <c:v>1.6542758041711063E-2</c:v>
                </c:pt>
                <c:pt idx="8">
                  <c:v>1.9709607857361776E-2</c:v>
                </c:pt>
                <c:pt idx="9">
                  <c:v>2.2125993980975436E-2</c:v>
                </c:pt>
                <c:pt idx="10">
                  <c:v>2.3943325919999339E-2</c:v>
                </c:pt>
                <c:pt idx="11">
                  <c:v>2.5313013181880794E-2</c:v>
                </c:pt>
                <c:pt idx="12">
                  <c:v>2.6386465274067111E-2</c:v>
                </c:pt>
                <c:pt idx="13">
                  <c:v>2.7315091704005576E-2</c:v>
                </c:pt>
                <c:pt idx="14">
                  <c:v>2.822250863196607E-2</c:v>
                </c:pt>
                <c:pt idx="15">
                  <c:v>2.9121158829508696E-2</c:v>
                </c:pt>
                <c:pt idx="16">
                  <c:v>2.9995691721016154E-2</c:v>
                </c:pt>
                <c:pt idx="17">
                  <c:v>3.0830756730871114E-2</c:v>
                </c:pt>
                <c:pt idx="18">
                  <c:v>3.1611003283456264E-2</c:v>
                </c:pt>
                <c:pt idx="19">
                  <c:v>3.2321080803154281E-2</c:v>
                </c:pt>
                <c:pt idx="20">
                  <c:v>3.2938512017528301E-2</c:v>
                </c:pt>
                <c:pt idx="21">
                  <c:v>3.3412312866863345E-2</c:v>
                </c:pt>
                <c:pt idx="22">
                  <c:v>3.368437259462484E-2</c:v>
                </c:pt>
                <c:pt idx="23">
                  <c:v>3.3696580444278257E-2</c:v>
                </c:pt>
                <c:pt idx="24">
                  <c:v>3.3412952359267771E-2</c:v>
                </c:pt>
                <c:pt idx="25">
                  <c:v>3.2886011082952429E-2</c:v>
                </c:pt>
                <c:pt idx="26">
                  <c:v>3.2190406058670004E-2</c:v>
                </c:pt>
                <c:pt idx="27">
                  <c:v>3.1400786729758275E-2</c:v>
                </c:pt>
                <c:pt idx="28">
                  <c:v>3.059180253955501E-2</c:v>
                </c:pt>
                <c:pt idx="29">
                  <c:v>2.9838102931397961E-2</c:v>
                </c:pt>
                <c:pt idx="30">
                  <c:v>2.920120122957558E-2</c:v>
                </c:pt>
                <c:pt idx="31">
                  <c:v>2.8690066282178978E-2</c:v>
                </c:pt>
                <c:pt idx="32">
                  <c:v>2.8300530818249892E-2</c:v>
                </c:pt>
                <c:pt idx="33">
                  <c:v>2.8028427566830116E-2</c:v>
                </c:pt>
                <c:pt idx="34">
                  <c:v>2.7869589256961372E-2</c:v>
                </c:pt>
                <c:pt idx="35">
                  <c:v>2.7819848617685463E-2</c:v>
                </c:pt>
                <c:pt idx="36">
                  <c:v>2.7875038378044132E-2</c:v>
                </c:pt>
                <c:pt idx="37">
                  <c:v>2.8030991267079159E-2</c:v>
                </c:pt>
                <c:pt idx="38">
                  <c:v>2.8283540013832285E-2</c:v>
                </c:pt>
                <c:pt idx="39">
                  <c:v>2.8628517347345284E-2</c:v>
                </c:pt>
                <c:pt idx="40">
                  <c:v>2.9057006062791275E-2</c:v>
                </c:pt>
                <c:pt idx="41">
                  <c:v>2.954108921986871E-2</c:v>
                </c:pt>
                <c:pt idx="42">
                  <c:v>3.0048099944407419E-2</c:v>
                </c:pt>
                <c:pt idx="43">
                  <c:v>3.0545371362237218E-2</c:v>
                </c:pt>
                <c:pt idx="44">
                  <c:v>3.1000236599187918E-2</c:v>
                </c:pt>
                <c:pt idx="45">
                  <c:v>3.1380028781089343E-2</c:v>
                </c:pt>
                <c:pt idx="46">
                  <c:v>3.1652081033771297E-2</c:v>
                </c:pt>
                <c:pt idx="47">
                  <c:v>3.1783726483063615E-2</c:v>
                </c:pt>
                <c:pt idx="48">
                  <c:v>3.1742298254796096E-2</c:v>
                </c:pt>
                <c:pt idx="49">
                  <c:v>3.1495129474798551E-2</c:v>
                </c:pt>
                <c:pt idx="50">
                  <c:v>3.1019758822075607E-2</c:v>
                </c:pt>
                <c:pt idx="51">
                  <c:v>3.0334547188330938E-2</c:v>
                </c:pt>
                <c:pt idx="52">
                  <c:v>2.9468061018443039E-2</c:v>
                </c:pt>
                <c:pt idx="53">
                  <c:v>2.8448866757290411E-2</c:v>
                </c:pt>
                <c:pt idx="54">
                  <c:v>2.7305530849751528E-2</c:v>
                </c:pt>
                <c:pt idx="55">
                  <c:v>2.6066619740704872E-2</c:v>
                </c:pt>
                <c:pt idx="56">
                  <c:v>2.4760699875028939E-2</c:v>
                </c:pt>
                <c:pt idx="57">
                  <c:v>2.3416337697602214E-2</c:v>
                </c:pt>
                <c:pt idx="58">
                  <c:v>2.2062099653303174E-2</c:v>
                </c:pt>
                <c:pt idx="59">
                  <c:v>2.0726552187010312E-2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796208"/>
        <c:axId val="1548786416"/>
      </c:scatterChart>
      <c:valAx>
        <c:axId val="154879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(year)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786416"/>
        <c:crosses val="autoZero"/>
        <c:crossBetween val="midCat"/>
      </c:valAx>
      <c:valAx>
        <c:axId val="15487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79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Output!$J$1</c:f>
              <c:strCache>
                <c:ptCount val="1"/>
                <c:pt idx="0">
                  <c:v>LIBOR/OIS spread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Output!$G$2:$G$61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Output!$J$2:$J$61</c:f>
              <c:numCache>
                <c:formatCode>General</c:formatCode>
                <c:ptCount val="60"/>
                <c:pt idx="0">
                  <c:v>5.400707055925962E-3</c:v>
                </c:pt>
                <c:pt idx="1">
                  <c:v>5.5829269979651265E-3</c:v>
                </c:pt>
                <c:pt idx="2">
                  <c:v>5.4660561337859549E-3</c:v>
                </c:pt>
                <c:pt idx="3">
                  <c:v>5.1766526858274178E-3</c:v>
                </c:pt>
                <c:pt idx="4">
                  <c:v>4.8245386863937393E-3</c:v>
                </c:pt>
                <c:pt idx="5">
                  <c:v>4.4525914072501664E-3</c:v>
                </c:pt>
                <c:pt idx="6">
                  <c:v>4.086951930027196E-3</c:v>
                </c:pt>
                <c:pt idx="7">
                  <c:v>3.7537613363553338E-3</c:v>
                </c:pt>
                <c:pt idx="8">
                  <c:v>3.4724296117501149E-3</c:v>
                </c:pt>
                <c:pt idx="9">
                  <c:v>3.2354423572672417E-3</c:v>
                </c:pt>
                <c:pt idx="10">
                  <c:v>3.0285540778475124E-3</c:v>
                </c:pt>
                <c:pt idx="11">
                  <c:v>2.8375192784316564E-3</c:v>
                </c:pt>
                <c:pt idx="12">
                  <c:v>2.6480924639604442E-3</c:v>
                </c:pt>
                <c:pt idx="13">
                  <c:v>2.4460281393746397E-3</c:v>
                </c:pt>
                <c:pt idx="14">
                  <c:v>2.2217440599670325E-3</c:v>
                </c:pt>
                <c:pt idx="15">
                  <c:v>1.9843109824385641E-3</c:v>
                </c:pt>
                <c:pt idx="16">
                  <c:v>1.7474629138422085E-3</c:v>
                </c:pt>
                <c:pt idx="17">
                  <c:v>1.5249338612309399E-3</c:v>
                </c:pt>
                <c:pt idx="18">
                  <c:v>1.330457831657729E-3</c:v>
                </c:pt>
                <c:pt idx="19">
                  <c:v>1.1777688321755533E-3</c:v>
                </c:pt>
                <c:pt idx="20">
                  <c:v>1.0779238145607745E-3</c:v>
                </c:pt>
                <c:pt idx="21">
                  <c:v>1.0312715094833724E-3</c:v>
                </c:pt>
                <c:pt idx="22">
                  <c:v>1.0354835923367042E-3</c:v>
                </c:pt>
                <c:pt idx="23">
                  <c:v>1.0882317385141477E-3</c:v>
                </c:pt>
                <c:pt idx="24">
                  <c:v>1.1850805355568192E-3</c:v>
                </c:pt>
                <c:pt idx="25">
                  <c:v>1.3131662195969285E-3</c:v>
                </c:pt>
                <c:pt idx="26">
                  <c:v>1.4575179389145071E-3</c:v>
                </c:pt>
                <c:pt idx="27">
                  <c:v>1.6031648417895311E-3</c:v>
                </c:pt>
                <c:pt idx="28">
                  <c:v>1.7351360765019801E-3</c:v>
                </c:pt>
                <c:pt idx="29">
                  <c:v>1.8384607913318647E-3</c:v>
                </c:pt>
                <c:pt idx="30">
                  <c:v>1.9012565921081512E-3</c:v>
                </c:pt>
                <c:pt idx="31">
                  <c:v>1.9239949148557589E-3</c:v>
                </c:pt>
                <c:pt idx="32">
                  <c:v>1.9102356531485939E-3</c:v>
                </c:pt>
                <c:pt idx="33">
                  <c:v>1.8635387005605554E-3</c:v>
                </c:pt>
                <c:pt idx="34">
                  <c:v>1.7874639506655632E-3</c:v>
                </c:pt>
                <c:pt idx="35">
                  <c:v>1.6855712970375095E-3</c:v>
                </c:pt>
                <c:pt idx="36">
                  <c:v>1.5614206332502968E-3</c:v>
                </c:pt>
                <c:pt idx="37">
                  <c:v>1.4185718528778313E-3</c:v>
                </c:pt>
                <c:pt idx="38">
                  <c:v>1.2605848494940224E-3</c:v>
                </c:pt>
                <c:pt idx="39">
                  <c:v>1.0910195166727692E-3</c:v>
                </c:pt>
                <c:pt idx="40">
                  <c:v>9.1402853653255872E-4</c:v>
                </c:pt>
                <c:pt idx="41">
                  <c:v>7.3613574537017418E-4</c:v>
                </c:pt>
                <c:pt idx="42">
                  <c:v>5.6445776802699354E-4</c:v>
                </c:pt>
                <c:pt idx="43">
                  <c:v>4.061112293443879E-4</c:v>
                </c:pt>
                <c:pt idx="44">
                  <c:v>2.6821275416373178E-4</c:v>
                </c:pt>
                <c:pt idx="45">
                  <c:v>1.5787896732639278E-4</c:v>
                </c:pt>
                <c:pt idx="46">
                  <c:v>8.222649367374546E-5</c:v>
                </c:pt>
                <c:pt idx="47">
                  <c:v>4.8371958047160879E-5</c:v>
                </c:pt>
                <c:pt idx="48">
                  <c:v>6.3431985288006643E-5</c:v>
                </c:pt>
                <c:pt idx="49">
                  <c:v>1.3452320023766423E-4</c:v>
                </c:pt>
                <c:pt idx="50">
                  <c:v>2.6639205641065464E-4</c:v>
                </c:pt>
                <c:pt idx="51">
                  <c:v>4.5430432201418874E-4</c:v>
                </c:pt>
                <c:pt idx="52">
                  <c:v>6.9115559392861001E-4</c:v>
                </c:pt>
                <c:pt idx="53">
                  <c:v>9.6984146903427576E-4</c:v>
                </c:pt>
                <c:pt idx="54">
                  <c:v>1.2832575442115433E-3</c:v>
                </c:pt>
                <c:pt idx="55">
                  <c:v>1.624299416340777E-3</c:v>
                </c:pt>
                <c:pt idx="56">
                  <c:v>1.9858626823023168E-3</c:v>
                </c:pt>
                <c:pt idx="57">
                  <c:v>2.3608429389765338E-3</c:v>
                </c:pt>
                <c:pt idx="58">
                  <c:v>2.7421357832437855E-3</c:v>
                </c:pt>
                <c:pt idx="59">
                  <c:v>3.1226368119844188E-3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797840"/>
        <c:axId val="1548784784"/>
      </c:scatterChart>
      <c:valAx>
        <c:axId val="154879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(year)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784784"/>
        <c:crosses val="autoZero"/>
        <c:crossBetween val="midCat"/>
      </c:valAx>
      <c:valAx>
        <c:axId val="154878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79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Output!$K$1</c:f>
              <c:strCache>
                <c:ptCount val="1"/>
                <c:pt idx="0">
                  <c:v>3M LIBOR Forward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Output!$G$2:$G$61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Output!$K$2:$K$61</c:f>
              <c:numCache>
                <c:formatCode>General</c:formatCode>
                <c:ptCount val="60"/>
                <c:pt idx="0">
                  <c:v>6.8992980176920682E-3</c:v>
                </c:pt>
                <c:pt idx="1">
                  <c:v>7.0303404545555281E-3</c:v>
                </c:pt>
                <c:pt idx="2">
                  <c:v>7.0037901246449152E-3</c:v>
                </c:pt>
                <c:pt idx="3">
                  <c:v>7.9471680203111461E-3</c:v>
                </c:pt>
                <c:pt idx="4">
                  <c:v>1.041523291337576E-2</c:v>
                </c:pt>
                <c:pt idx="5">
                  <c:v>1.3881802223019157E-2</c:v>
                </c:pt>
                <c:pt idx="6">
                  <c:v>1.7678474709505565E-2</c:v>
                </c:pt>
                <c:pt idx="7">
                  <c:v>2.1138831996963425E-2</c:v>
                </c:pt>
                <c:pt idx="8">
                  <c:v>2.3851560369183566E-2</c:v>
                </c:pt>
                <c:pt idx="9">
                  <c:v>2.5889885398705736E-2</c:v>
                </c:pt>
                <c:pt idx="10">
                  <c:v>2.7390881546627277E-2</c:v>
                </c:pt>
                <c:pt idx="11">
                  <c:v>2.8492085831151037E-2</c:v>
                </c:pt>
                <c:pt idx="12">
                  <c:v>2.9331337498611276E-2</c:v>
                </c:pt>
                <c:pt idx="13">
                  <c:v>3.0045936453339195E-2</c:v>
                </c:pt>
                <c:pt idx="14">
                  <c:v>3.0728874141625617E-2</c:v>
                </c:pt>
                <c:pt idx="15">
                  <c:v>3.1389432476108148E-2</c:v>
                </c:pt>
                <c:pt idx="16">
                  <c:v>3.2025970904934198E-2</c:v>
                </c:pt>
                <c:pt idx="17">
                  <c:v>3.2636848257837414E-2</c:v>
                </c:pt>
                <c:pt idx="18">
                  <c:v>3.3220422846895303E-2</c:v>
                </c:pt>
                <c:pt idx="19">
                  <c:v>3.3774743619810366E-2</c:v>
                </c:pt>
                <c:pt idx="20">
                  <c:v>3.4279010466280013E-2</c:v>
                </c:pt>
                <c:pt idx="21">
                  <c:v>3.4676876510590482E-2</c:v>
                </c:pt>
                <c:pt idx="22">
                  <c:v>3.4907343278049119E-2</c:v>
                </c:pt>
                <c:pt idx="23">
                  <c:v>3.491004613711457E-2</c:v>
                </c:pt>
                <c:pt idx="24">
                  <c:v>3.4663145864661793E-2</c:v>
                </c:pt>
                <c:pt idx="25">
                  <c:v>3.4217412595734409E-2</c:v>
                </c:pt>
                <c:pt idx="26">
                  <c:v>3.3633092169305101E-2</c:v>
                </c:pt>
                <c:pt idx="27">
                  <c:v>3.2970414870249876E-2</c:v>
                </c:pt>
                <c:pt idx="28">
                  <c:v>3.228957923924991E-2</c:v>
                </c:pt>
                <c:pt idx="29">
                  <c:v>3.1650428396851282E-2</c:v>
                </c:pt>
                <c:pt idx="30">
                  <c:v>3.1093466176709939E-2</c:v>
                </c:pt>
                <c:pt idx="31">
                  <c:v>3.0622792411389099E-2</c:v>
                </c:pt>
                <c:pt idx="32">
                  <c:v>3.0237764923059629E-2</c:v>
                </c:pt>
                <c:pt idx="33">
                  <c:v>2.9937747253555358E-2</c:v>
                </c:pt>
                <c:pt idx="34">
                  <c:v>2.9722108532230784E-2</c:v>
                </c:pt>
                <c:pt idx="35">
                  <c:v>2.9590223345356215E-2</c:v>
                </c:pt>
                <c:pt idx="36">
                  <c:v>2.9541471607064551E-2</c:v>
                </c:pt>
                <c:pt idx="37">
                  <c:v>2.9575238431786666E-2</c:v>
                </c:pt>
                <c:pt idx="38">
                  <c:v>2.9690914008180691E-2</c:v>
                </c:pt>
                <c:pt idx="39">
                  <c:v>2.9887762593016731E-2</c:v>
                </c:pt>
                <c:pt idx="40">
                  <c:v>3.0157068921853991E-2</c:v>
                </c:pt>
                <c:pt idx="41">
                  <c:v>3.0475066047115362E-2</c:v>
                </c:pt>
                <c:pt idx="42">
                  <c:v>3.0816018320705574E-2</c:v>
                </c:pt>
                <c:pt idx="43">
                  <c:v>3.1154182232962846E-2</c:v>
                </c:pt>
                <c:pt idx="44">
                  <c:v>3.1463805768690456E-2</c:v>
                </c:pt>
                <c:pt idx="45">
                  <c:v>3.1719129407876245E-2</c:v>
                </c:pt>
                <c:pt idx="46">
                  <c:v>3.1894388771956272E-2</c:v>
                </c:pt>
                <c:pt idx="47">
                  <c:v>3.1963818916132425E-2</c:v>
                </c:pt>
                <c:pt idx="48">
                  <c:v>3.1901660267635634E-2</c:v>
                </c:pt>
                <c:pt idx="49">
                  <c:v>3.1682413003994547E-2</c:v>
                </c:pt>
                <c:pt idx="50">
                  <c:v>3.1295652413427355E-2</c:v>
                </c:pt>
                <c:pt idx="51">
                  <c:v>3.0759352670027162E-2</c:v>
                </c:pt>
                <c:pt idx="52">
                  <c:v>3.009519692609075E-2</c:v>
                </c:pt>
                <c:pt idx="53">
                  <c:v>2.9324867735123661E-2</c:v>
                </c:pt>
                <c:pt idx="54">
                  <c:v>2.8470040765154359E-2</c:v>
                </c:pt>
                <c:pt idx="55">
                  <c:v>2.7552379677046268E-2</c:v>
                </c:pt>
                <c:pt idx="56">
                  <c:v>2.6593532167616729E-2</c:v>
                </c:pt>
                <c:pt idx="57">
                  <c:v>2.5615127176584096E-2</c:v>
                </c:pt>
                <c:pt idx="58">
                  <c:v>2.4638773256000945E-2</c:v>
                </c:pt>
                <c:pt idx="59">
                  <c:v>2.3685940206433997E-2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783696"/>
        <c:axId val="1548784240"/>
      </c:scatterChart>
      <c:valAx>
        <c:axId val="154878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(year)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784240"/>
        <c:crosses val="autoZero"/>
        <c:crossBetween val="midCat"/>
      </c:valAx>
      <c:valAx>
        <c:axId val="154878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78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Output!$L$1</c:f>
              <c:strCache>
                <c:ptCount val="1"/>
                <c:pt idx="0">
                  <c:v>Discount factor to value 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Output!$G$2:$G$61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Output!$L$2:$L$61</c:f>
              <c:numCache>
                <c:formatCode>General</c:formatCode>
                <c:ptCount val="60"/>
                <c:pt idx="0">
                  <c:v>0.99949013167291945</c:v>
                </c:pt>
                <c:pt idx="1">
                  <c:v>0.99876609363326985</c:v>
                </c:pt>
                <c:pt idx="2">
                  <c:v>0.99804336348813938</c:v>
                </c:pt>
                <c:pt idx="3">
                  <c:v>0.99714134014655542</c:v>
                </c:pt>
                <c:pt idx="4">
                  <c:v>0.9954135109621195</c:v>
                </c:pt>
                <c:pt idx="5">
                  <c:v>0.99214132437463343</c:v>
                </c:pt>
                <c:pt idx="6">
                  <c:v>0.98692867846043697</c:v>
                </c:pt>
                <c:pt idx="7">
                  <c:v>0.97973804018849808</c:v>
                </c:pt>
                <c:pt idx="8">
                  <c:v>0.97086527974728154</c:v>
                </c:pt>
                <c:pt idx="9">
                  <c:v>0.96073700112276628</c:v>
                </c:pt>
                <c:pt idx="10">
                  <c:v>0.94971464256480342</c:v>
                </c:pt>
                <c:pt idx="11">
                  <c:v>0.93807694912194162</c:v>
                </c:pt>
                <c:pt idx="12">
                  <c:v>0.92602193527858345</c:v>
                </c:pt>
                <c:pt idx="13">
                  <c:v>0.91367018031964353</c:v>
                </c:pt>
                <c:pt idx="14">
                  <c:v>0.90107203793775936</c:v>
                </c:pt>
                <c:pt idx="15">
                  <c:v>0.8882458881916272</c:v>
                </c:pt>
                <c:pt idx="16">
                  <c:v>0.87521368541866573</c:v>
                </c:pt>
                <c:pt idx="17">
                  <c:v>0.86200363883240883</c:v>
                </c:pt>
                <c:pt idx="18">
                  <c:v>0.84864965758754862</c:v>
                </c:pt>
                <c:pt idx="19">
                  <c:v>0.83519078484246601</c:v>
                </c:pt>
                <c:pt idx="20">
                  <c:v>0.82167136137266794</c:v>
                </c:pt>
                <c:pt idx="21">
                  <c:v>0.80814832318283958</c:v>
                </c:pt>
                <c:pt idx="22">
                  <c:v>0.79469772488663359</c:v>
                </c:pt>
                <c:pt idx="23">
                  <c:v>0.78141356787921412</c:v>
                </c:pt>
                <c:pt idx="24">
                  <c:v>0.76840387173158575</c:v>
                </c:pt>
                <c:pt idx="25">
                  <c:v>0.75576625802118103</c:v>
                </c:pt>
                <c:pt idx="26">
                  <c:v>0.74356602812284922</c:v>
                </c:pt>
                <c:pt idx="27">
                  <c:v>0.73183670527748468</c:v>
                </c:pt>
                <c:pt idx="28">
                  <c:v>0.72058257001329828</c:v>
                </c:pt>
                <c:pt idx="29">
                  <c:v>0.7097809435484268</c:v>
                </c:pt>
                <c:pt idx="30">
                  <c:v>0.69938536076471203</c:v>
                </c:pt>
                <c:pt idx="31">
                  <c:v>0.6893397323762035</c:v>
                </c:pt>
                <c:pt idx="32">
                  <c:v>0.67959128120618273</c:v>
                </c:pt>
                <c:pt idx="33">
                  <c:v>0.67009140403145451</c:v>
                </c:pt>
                <c:pt idx="34">
                  <c:v>0.66079539632113482</c:v>
                </c:pt>
                <c:pt idx="35">
                  <c:v>0.65166221648554246</c:v>
                </c:pt>
                <c:pt idx="36">
                  <c:v>0.642654283779314</c:v>
                </c:pt>
                <c:pt idx="37">
                  <c:v>0.63373730463636224</c:v>
                </c:pt>
                <c:pt idx="38">
                  <c:v>0.6248801227637899</c:v>
                </c:pt>
                <c:pt idx="39">
                  <c:v>0.61605458880339037</c:v>
                </c:pt>
                <c:pt idx="40">
                  <c:v>0.60723580633754515</c:v>
                </c:pt>
                <c:pt idx="41">
                  <c:v>0.59840591182096337</c:v>
                </c:pt>
                <c:pt idx="42">
                  <c:v>0.58955751647619936</c:v>
                </c:pt>
                <c:pt idx="43">
                  <c:v>0.58069335502217989</c:v>
                </c:pt>
                <c:pt idx="44">
                  <c:v>0.57182555997530748</c:v>
                </c:pt>
                <c:pt idx="45">
                  <c:v>0.56297493394110665</c:v>
                </c:pt>
                <c:pt idx="46">
                  <c:v>0.55417022653517489</c:v>
                </c:pt>
                <c:pt idx="47">
                  <c:v>0.54544742706267957</c:v>
                </c:pt>
                <c:pt idx="48">
                  <c:v>0.53684908784637919</c:v>
                </c:pt>
                <c:pt idx="49">
                  <c:v>0.52842369616990403</c:v>
                </c:pt>
                <c:pt idx="50">
                  <c:v>0.52022445162965814</c:v>
                </c:pt>
                <c:pt idx="51">
                  <c:v>0.51230166011511269</c:v>
                </c:pt>
                <c:pt idx="52">
                  <c:v>0.50469587565093899</c:v>
                </c:pt>
                <c:pt idx="53">
                  <c:v>0.49743804778719686</c:v>
                </c:pt>
                <c:pt idx="54">
                  <c:v>0.49055031117465708</c:v>
                </c:pt>
                <c:pt idx="55">
                  <c:v>0.48404671474831751</c:v>
                </c:pt>
                <c:pt idx="56">
                  <c:v>0.47793387845591839</c:v>
                </c:pt>
                <c:pt idx="57">
                  <c:v>0.47221157029762123</c:v>
                </c:pt>
                <c:pt idx="58">
                  <c:v>0.46687320053931036</c:v>
                </c:pt>
                <c:pt idx="59">
                  <c:v>0.46190623344021964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17040"/>
        <c:axId val="1612820304"/>
      </c:scatterChart>
      <c:valAx>
        <c:axId val="161281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(year)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20304"/>
        <c:crosses val="autoZero"/>
        <c:crossBetween val="midCat"/>
      </c:valAx>
      <c:valAx>
        <c:axId val="161282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1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Output!$Q$1</c:f>
              <c:strCache>
                <c:ptCount val="1"/>
                <c:pt idx="0">
                  <c:v>Model Swap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Output!$O$2:$O$12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Output!$Q$2:$Q$12</c:f>
              <c:numCache>
                <c:formatCode>0.00%</c:formatCode>
                <c:ptCount val="11"/>
                <c:pt idx="0">
                  <c:v>6.7660040378672813E-3</c:v>
                </c:pt>
                <c:pt idx="1">
                  <c:v>7.7959269438664918E-3</c:v>
                </c:pt>
                <c:pt idx="2">
                  <c:v>1.0006307456705716E-2</c:v>
                </c:pt>
                <c:pt idx="3">
                  <c:v>1.2582417747114617E-2</c:v>
                </c:pt>
                <c:pt idx="4">
                  <c:v>1.6839858062546478E-2</c:v>
                </c:pt>
                <c:pt idx="5">
                  <c:v>2.1016442038836885E-2</c:v>
                </c:pt>
                <c:pt idx="6">
                  <c:v>2.2997866198472158E-2</c:v>
                </c:pt>
                <c:pt idx="7">
                  <c:v>2.4808699763401589E-2</c:v>
                </c:pt>
                <c:pt idx="8">
                  <c:v>2.589044900090778E-2</c:v>
                </c:pt>
                <c:pt idx="9">
                  <c:v>2.6681128286960488E-2</c:v>
                </c:pt>
                <c:pt idx="10">
                  <c:v>2.689556095672908E-2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14320"/>
        <c:axId val="1612823568"/>
      </c:scatterChart>
      <c:valAx>
        <c:axId val="161281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tenor</a:t>
                </a:r>
                <a:r>
                  <a:rPr lang="en-US" baseline="0"/>
                  <a:t> (year)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23568"/>
        <c:crosses val="autoZero"/>
        <c:crossBetween val="midCat"/>
      </c:valAx>
      <c:valAx>
        <c:axId val="161282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</a:t>
                </a:r>
                <a:r>
                  <a:rPr lang="en-US" baseline="0"/>
                  <a:t> par rate</a:t>
                </a:r>
              </a:p>
            </c:rich>
          </c:tx>
          <c:layout>
            <c:manualLayout>
              <c:xMode val="edge"/>
              <c:yMode val="edge"/>
              <c:x val="3.8140638850695414E-2"/>
              <c:y val="0.279108663612039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1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present</a:t>
            </a:r>
            <a:r>
              <a:rPr lang="en-US" baseline="0"/>
              <a:t> value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Output!$S$1</c:f>
              <c:strCache>
                <c:ptCount val="1"/>
                <c:pt idx="0">
                  <c:v>Swap 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Output!$O$2:$O$12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Output!$S$2:$S$12</c:f>
              <c:numCache>
                <c:formatCode>General</c:formatCode>
                <c:ptCount val="11"/>
                <c:pt idx="0">
                  <c:v>1.0857127973085376E-2</c:v>
                </c:pt>
                <c:pt idx="1">
                  <c:v>1.5167713127165345E-2</c:v>
                </c:pt>
                <c:pt idx="2">
                  <c:v>1.4758200273806029E-2</c:v>
                </c:pt>
                <c:pt idx="3">
                  <c:v>-1.6035606456708124E-4</c:v>
                </c:pt>
                <c:pt idx="4">
                  <c:v>-9.503567520805388E-2</c:v>
                </c:pt>
                <c:pt idx="5">
                  <c:v>-0.42743860027228464</c:v>
                </c:pt>
                <c:pt idx="6">
                  <c:v>-0.77305632954490489</c:v>
                </c:pt>
                <c:pt idx="7">
                  <c:v>-1.3949788890771004</c:v>
                </c:pt>
                <c:pt idx="8">
                  <c:v>-2.4945332392160253</c:v>
                </c:pt>
                <c:pt idx="9">
                  <c:v>-3.7494350099346598</c:v>
                </c:pt>
                <c:pt idx="10">
                  <c:v>-4.9095126277652232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22480"/>
        <c:axId val="1612824656"/>
      </c:scatterChart>
      <c:valAx>
        <c:axId val="161282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(year)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24656"/>
        <c:crosses val="autoZero"/>
        <c:crossBetween val="midCat"/>
      </c:valAx>
      <c:valAx>
        <c:axId val="161282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</a:t>
                </a:r>
                <a:r>
                  <a:rPr lang="en-US" baseline="0"/>
                  <a:t> PV  ($)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2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24</xdr:row>
      <xdr:rowOff>0</xdr:rowOff>
    </xdr:from>
    <xdr:to>
      <xdr:col>5</xdr:col>
      <xdr:colOff>485775</xdr:colOff>
      <xdr:row>40</xdr:row>
      <xdr:rowOff>61912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176211</xdr:colOff>
      <xdr:row>41</xdr:row>
      <xdr:rowOff>85725</xdr:rowOff>
    </xdr:from>
    <xdr:to>
      <xdr:col>5</xdr:col>
      <xdr:colOff>438149</xdr:colOff>
      <xdr:row>58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61912</xdr:colOff>
      <xdr:row>61</xdr:row>
      <xdr:rowOff>95250</xdr:rowOff>
    </xdr:from>
    <xdr:to>
      <xdr:col>5</xdr:col>
      <xdr:colOff>276225</xdr:colOff>
      <xdr:row>78</xdr:row>
      <xdr:rowOff>119062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700087</xdr:colOff>
      <xdr:row>62</xdr:row>
      <xdr:rowOff>47625</xdr:rowOff>
    </xdr:from>
    <xdr:to>
      <xdr:col>9</xdr:col>
      <xdr:colOff>476250</xdr:colOff>
      <xdr:row>79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242887</xdr:colOff>
      <xdr:row>14</xdr:row>
      <xdr:rowOff>23811</xdr:rowOff>
    </xdr:from>
    <xdr:to>
      <xdr:col>17</xdr:col>
      <xdr:colOff>295275</xdr:colOff>
      <xdr:row>29</xdr:row>
      <xdr:rowOff>76199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271462</xdr:colOff>
      <xdr:row>30</xdr:row>
      <xdr:rowOff>38100</xdr:rowOff>
    </xdr:from>
    <xdr:to>
      <xdr:col>17</xdr:col>
      <xdr:colOff>247650</xdr:colOff>
      <xdr:row>45</xdr:row>
      <xdr:rowOff>71437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3"/>
  <sheetViews>
    <sheetView workbookViewId="0">
      <selection activeCell="E8" sqref="E8"/>
    </sheetView>
  </sheetViews>
  <sheetFormatPr defaultRowHeight="12.75" x14ac:dyDescent="0.2"/>
  <cols>
    <col min="1" max="1" width="11.5703125" customWidth="1"/>
    <col min="2" max="2" width="11.28515625" customWidth="1"/>
  </cols>
  <sheetData>
    <row r="2" spans="1:2" x14ac:dyDescent="0.2">
      <c r="A2" s="6" t="s">
        <v>52</v>
      </c>
      <c r="B2" s="1">
        <v>40890</v>
      </c>
    </row>
    <row r="3" spans="1:2" x14ac:dyDescent="0.2">
      <c r="A3" t="s">
        <v>0</v>
      </c>
      <c r="B3" s="1">
        <v>40892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2"/>
  <sheetViews>
    <sheetView topLeftCell="C1" workbookViewId="0">
      <selection activeCell="N10" sqref="N10:N27"/>
    </sheetView>
  </sheetViews>
  <sheetFormatPr defaultRowHeight="12.75" x14ac:dyDescent="0.2"/>
  <cols>
    <col min="1" max="1" width="24.7109375" bestFit="1" customWidth="1"/>
    <col min="2" max="2" width="20.7109375" customWidth="1"/>
    <col min="3" max="3" width="13.28515625" customWidth="1"/>
    <col min="4" max="4" width="11.7109375" customWidth="1"/>
    <col min="5" max="5" width="13.42578125" customWidth="1"/>
    <col min="6" max="6" width="11.42578125" customWidth="1"/>
    <col min="7" max="7" width="11" customWidth="1"/>
    <col min="8" max="8" width="14" customWidth="1"/>
    <col min="9" max="9" width="14.5703125" customWidth="1"/>
    <col min="10" max="10" width="11.42578125" customWidth="1"/>
    <col min="11" max="11" width="12.5703125" customWidth="1"/>
    <col min="13" max="13" width="12.28515625" bestFit="1" customWidth="1"/>
    <col min="16" max="16" width="16.85546875" bestFit="1" customWidth="1"/>
  </cols>
  <sheetData>
    <row r="1" spans="1:17" ht="15.75" x14ac:dyDescent="0.25">
      <c r="B1" s="4" t="s">
        <v>1</v>
      </c>
      <c r="F1" s="6" t="s">
        <v>54</v>
      </c>
      <c r="G1" s="1">
        <v>40890</v>
      </c>
      <c r="M1" s="18" t="s">
        <v>56</v>
      </c>
      <c r="N1" s="17"/>
      <c r="P1" s="19" t="s">
        <v>57</v>
      </c>
      <c r="Q1" s="26"/>
    </row>
    <row r="2" spans="1:17" ht="15.75" x14ac:dyDescent="0.25">
      <c r="A2" s="6" t="s">
        <v>29</v>
      </c>
      <c r="B2" s="11"/>
      <c r="C2" s="13" t="s">
        <v>31</v>
      </c>
      <c r="D2" s="14" t="s">
        <v>2</v>
      </c>
      <c r="E2" s="14" t="s">
        <v>3</v>
      </c>
      <c r="I2" s="19" t="s">
        <v>31</v>
      </c>
      <c r="J2" s="19" t="s">
        <v>2</v>
      </c>
      <c r="K2" s="19" t="s">
        <v>55</v>
      </c>
    </row>
    <row r="3" spans="1:17" ht="15" x14ac:dyDescent="0.25">
      <c r="B3" s="9" t="s">
        <v>4</v>
      </c>
      <c r="C3" s="1">
        <v>40890</v>
      </c>
      <c r="D3" s="1">
        <v>40891</v>
      </c>
      <c r="E3" s="2">
        <v>5.4587999999999998E-3</v>
      </c>
      <c r="H3" s="23" t="s">
        <v>62</v>
      </c>
      <c r="I3" s="17">
        <f>YEARFRAC($G$1,C3,2)</f>
        <v>0</v>
      </c>
      <c r="J3" s="17">
        <f>YEARFRAC($G$1,D3,2)</f>
        <v>2.7777777777777779E-3</v>
      </c>
      <c r="K3" s="20">
        <v>5.4587999999999998E-3</v>
      </c>
    </row>
    <row r="4" spans="1:17" x14ac:dyDescent="0.2">
      <c r="B4" s="9" t="s">
        <v>5</v>
      </c>
      <c r="C4" s="1">
        <v>40892</v>
      </c>
      <c r="D4" s="1">
        <v>40983</v>
      </c>
      <c r="E4" s="2">
        <v>5.4625000000000003E-3</v>
      </c>
      <c r="I4" s="17">
        <f>YEARFRAC($G$1,C4,2)</f>
        <v>5.5555555555555558E-3</v>
      </c>
      <c r="J4" s="17">
        <f>YEARFRAC($G$1,D4,2)</f>
        <v>0.25833333333333336</v>
      </c>
      <c r="K4" s="20">
        <v>5.4625000000000003E-3</v>
      </c>
    </row>
    <row r="5" spans="1:17" x14ac:dyDescent="0.2">
      <c r="B5" s="9"/>
      <c r="K5" s="16"/>
    </row>
    <row r="6" spans="1:17" x14ac:dyDescent="0.2">
      <c r="A6" s="7" t="s">
        <v>30</v>
      </c>
      <c r="B6" s="12"/>
      <c r="C6" s="13" t="s">
        <v>28</v>
      </c>
      <c r="D6" s="14" t="s">
        <v>6</v>
      </c>
      <c r="E6" s="13" t="s">
        <v>33</v>
      </c>
      <c r="F6" s="13" t="s">
        <v>3</v>
      </c>
      <c r="G6" s="15" t="s">
        <v>53</v>
      </c>
      <c r="K6" s="16"/>
    </row>
    <row r="7" spans="1:17" ht="15" x14ac:dyDescent="0.25">
      <c r="A7" s="5"/>
      <c r="B7" s="9" t="s">
        <v>7</v>
      </c>
      <c r="C7" s="1">
        <v>40898</v>
      </c>
      <c r="D7" s="8">
        <v>99.442499999999995</v>
      </c>
      <c r="E7">
        <v>9.9999999999666328E-3</v>
      </c>
      <c r="F7" s="2">
        <v>5.574E-3</v>
      </c>
      <c r="G7" s="1">
        <f xml:space="preserve"> WORKDAY(EDATE(C7,3)-1,1)</f>
        <v>40989</v>
      </c>
      <c r="H7" s="23" t="s">
        <v>62</v>
      </c>
      <c r="I7" s="17">
        <f>YEARFRAC($G$1,C7,2)</f>
        <v>2.2222222222222223E-2</v>
      </c>
      <c r="J7" s="17">
        <f>YEARFRAC($G$1,G7,2)</f>
        <v>0.27500000000000002</v>
      </c>
      <c r="K7" s="20">
        <v>5.574E-3</v>
      </c>
    </row>
    <row r="8" spans="1:17" ht="15.75" x14ac:dyDescent="0.2">
      <c r="A8" s="5"/>
      <c r="B8" s="9" t="s">
        <v>8</v>
      </c>
      <c r="C8" s="1">
        <v>40989</v>
      </c>
      <c r="D8" s="8">
        <v>99.355000000000004</v>
      </c>
      <c r="E8">
        <v>0.1099999999995549</v>
      </c>
      <c r="F8" s="2">
        <v>6.4390000000000003E-3</v>
      </c>
      <c r="G8" s="1">
        <f t="shared" ref="G8:G14" si="0" xml:space="preserve"> WORKDAY(EDATE(C8,3)-1,1)</f>
        <v>41081</v>
      </c>
      <c r="I8" s="17">
        <f t="shared" ref="I8:I14" si="1">YEARFRAC($G$1,C8,2)</f>
        <v>0.27500000000000002</v>
      </c>
      <c r="J8" s="17">
        <f t="shared" ref="J8:J14" si="2">YEARFRAC($G$1,G8,2)</f>
        <v>0.53055555555555556</v>
      </c>
      <c r="K8" s="20">
        <v>6.4390000000000003E-3</v>
      </c>
      <c r="M8" s="31" t="s">
        <v>59</v>
      </c>
      <c r="N8" s="31"/>
      <c r="O8" s="31"/>
    </row>
    <row r="9" spans="1:17" ht="15.75" x14ac:dyDescent="0.25">
      <c r="A9" s="5"/>
      <c r="B9" s="9" t="s">
        <v>9</v>
      </c>
      <c r="C9" s="1">
        <v>41080</v>
      </c>
      <c r="D9" s="8">
        <v>99.31</v>
      </c>
      <c r="E9">
        <v>0.22000000000016798</v>
      </c>
      <c r="F9" s="2">
        <v>6.8780000000000004E-3</v>
      </c>
      <c r="G9" s="1">
        <f t="shared" si="0"/>
        <v>41172</v>
      </c>
      <c r="I9" s="17">
        <f t="shared" si="1"/>
        <v>0.52777777777777779</v>
      </c>
      <c r="J9" s="17">
        <f t="shared" si="2"/>
        <v>0.78333333333333333</v>
      </c>
      <c r="K9" s="20">
        <v>6.8780000000000004E-3</v>
      </c>
      <c r="M9" s="21" t="s">
        <v>58</v>
      </c>
      <c r="N9" s="18" t="s">
        <v>29</v>
      </c>
      <c r="O9" s="18" t="s">
        <v>60</v>
      </c>
    </row>
    <row r="10" spans="1:17" x14ac:dyDescent="0.2">
      <c r="A10" s="5"/>
      <c r="B10" s="9" t="s">
        <v>10</v>
      </c>
      <c r="C10" s="1">
        <v>41171</v>
      </c>
      <c r="D10" s="8">
        <v>99.295000000000002</v>
      </c>
      <c r="E10">
        <v>0.35000000000000309</v>
      </c>
      <c r="F10" s="2">
        <v>7.0150000000000004E-3</v>
      </c>
      <c r="G10" s="1">
        <f t="shared" si="0"/>
        <v>41262</v>
      </c>
      <c r="I10" s="17">
        <f t="shared" si="1"/>
        <v>0.78055555555555556</v>
      </c>
      <c r="J10" s="17">
        <f t="shared" si="2"/>
        <v>1.0333333333333334</v>
      </c>
      <c r="K10" s="20">
        <v>7.0150000000000004E-3</v>
      </c>
      <c r="M10" s="17">
        <v>-1</v>
      </c>
      <c r="N10" s="17">
        <v>0.01</v>
      </c>
      <c r="O10" s="17">
        <v>0</v>
      </c>
      <c r="Q10" s="6"/>
    </row>
    <row r="11" spans="1:17" x14ac:dyDescent="0.2">
      <c r="A11" s="5"/>
      <c r="B11" s="10" t="s">
        <v>11</v>
      </c>
      <c r="C11" s="1">
        <v>41262</v>
      </c>
      <c r="D11" s="8">
        <v>99.29</v>
      </c>
      <c r="E11">
        <v>0.51999999999884605</v>
      </c>
      <c r="F11" s="2">
        <v>7.0479999999999996E-3</v>
      </c>
      <c r="G11" s="1">
        <f t="shared" si="0"/>
        <v>41352</v>
      </c>
      <c r="I11" s="17">
        <f t="shared" si="1"/>
        <v>1.0333333333333334</v>
      </c>
      <c r="J11" s="17">
        <f t="shared" si="2"/>
        <v>1.2833333333333334</v>
      </c>
      <c r="K11" s="20">
        <v>7.0479999999999996E-3</v>
      </c>
      <c r="M11" s="17">
        <v>-0.7</v>
      </c>
      <c r="N11" s="17">
        <v>0.01</v>
      </c>
      <c r="O11" s="17">
        <v>0</v>
      </c>
    </row>
    <row r="12" spans="1:17" x14ac:dyDescent="0.2">
      <c r="A12" s="5"/>
      <c r="B12" s="10" t="s">
        <v>12</v>
      </c>
      <c r="C12" s="1">
        <v>41353</v>
      </c>
      <c r="D12" s="8">
        <v>99.3</v>
      </c>
      <c r="E12">
        <v>0.72000000000006081</v>
      </c>
      <c r="F12" s="2">
        <v>6.9280000000000001E-3</v>
      </c>
      <c r="G12" s="1">
        <f t="shared" si="0"/>
        <v>41445</v>
      </c>
      <c r="I12" s="17">
        <f t="shared" si="1"/>
        <v>1.2861111111111112</v>
      </c>
      <c r="J12" s="17">
        <f t="shared" si="2"/>
        <v>1.5416666666666667</v>
      </c>
      <c r="K12" s="20">
        <v>6.9280000000000001E-3</v>
      </c>
      <c r="M12" s="17">
        <v>-0.3</v>
      </c>
      <c r="N12" s="17">
        <v>0.01</v>
      </c>
      <c r="O12" s="17">
        <v>0</v>
      </c>
    </row>
    <row r="13" spans="1:17" x14ac:dyDescent="0.2">
      <c r="A13" s="5"/>
      <c r="B13" s="10" t="s">
        <v>13</v>
      </c>
      <c r="C13" s="1">
        <v>41444</v>
      </c>
      <c r="D13" s="8">
        <v>99.29</v>
      </c>
      <c r="E13">
        <v>0.9399999999988411</v>
      </c>
      <c r="F13" s="2">
        <v>7.0060000000000001E-3</v>
      </c>
      <c r="G13" s="1">
        <f t="shared" si="0"/>
        <v>41536</v>
      </c>
      <c r="I13" s="17">
        <f t="shared" si="1"/>
        <v>1.538888888888889</v>
      </c>
      <c r="J13" s="17">
        <f t="shared" si="2"/>
        <v>1.7944444444444445</v>
      </c>
      <c r="K13" s="20">
        <v>7.0060000000000001E-3</v>
      </c>
      <c r="M13" s="17">
        <v>0</v>
      </c>
      <c r="N13" s="17">
        <v>0.01</v>
      </c>
      <c r="O13" s="17">
        <v>0</v>
      </c>
    </row>
    <row r="14" spans="1:17" x14ac:dyDescent="0.2">
      <c r="B14" s="10" t="s">
        <v>14</v>
      </c>
      <c r="C14" s="1">
        <v>41535</v>
      </c>
      <c r="D14" s="8">
        <v>99.26</v>
      </c>
      <c r="E14">
        <v>1.2099999999996229</v>
      </c>
      <c r="F14" s="2">
        <v>7.2789999999999999E-3</v>
      </c>
      <c r="G14" s="1">
        <f t="shared" si="0"/>
        <v>41626</v>
      </c>
      <c r="I14" s="17">
        <f t="shared" si="1"/>
        <v>1.7916666666666667</v>
      </c>
      <c r="J14" s="17">
        <f t="shared" si="2"/>
        <v>2.0444444444444443</v>
      </c>
      <c r="K14" s="20">
        <v>7.2789999999999999E-3</v>
      </c>
      <c r="M14" s="17">
        <v>0.25</v>
      </c>
      <c r="N14" s="17">
        <v>0.01</v>
      </c>
      <c r="O14" s="17">
        <v>0</v>
      </c>
    </row>
    <row r="15" spans="1:17" x14ac:dyDescent="0.2">
      <c r="B15" s="9"/>
      <c r="K15" s="16"/>
      <c r="M15" s="17">
        <v>0.5</v>
      </c>
      <c r="N15" s="17">
        <v>0.01</v>
      </c>
      <c r="O15" s="17">
        <v>0</v>
      </c>
    </row>
    <row r="16" spans="1:17" x14ac:dyDescent="0.2">
      <c r="A16" s="6" t="s">
        <v>15</v>
      </c>
      <c r="B16" s="12"/>
      <c r="C16" s="13" t="s">
        <v>31</v>
      </c>
      <c r="D16" s="14" t="s">
        <v>2</v>
      </c>
      <c r="E16" s="14" t="s">
        <v>3</v>
      </c>
      <c r="K16" s="16"/>
      <c r="M16" s="17">
        <v>2</v>
      </c>
      <c r="N16" s="17">
        <v>0.01</v>
      </c>
      <c r="O16" s="17">
        <v>0</v>
      </c>
    </row>
    <row r="17" spans="1:15" ht="15" x14ac:dyDescent="0.25">
      <c r="B17" s="9" t="s">
        <v>16</v>
      </c>
      <c r="C17" s="1">
        <v>40892</v>
      </c>
      <c r="D17" s="1">
        <v>41623</v>
      </c>
      <c r="E17" s="2">
        <v>6.8999999999999999E-3</v>
      </c>
      <c r="H17" s="23" t="s">
        <v>63</v>
      </c>
      <c r="I17" s="17">
        <f>YEARFRAC($G$1,C17,0)</f>
        <v>5.5555555555555558E-3</v>
      </c>
      <c r="J17" s="17">
        <f t="shared" ref="J17:J27" si="3">YEARFRAC($G$1,D17,0)</f>
        <v>2.0055555555555555</v>
      </c>
      <c r="K17" s="20">
        <v>6.8999999999999999E-3</v>
      </c>
      <c r="M17" s="17">
        <v>4</v>
      </c>
      <c r="N17" s="17">
        <v>0.01</v>
      </c>
      <c r="O17" s="17">
        <v>0</v>
      </c>
    </row>
    <row r="18" spans="1:15" x14ac:dyDescent="0.2">
      <c r="B18" s="9" t="s">
        <v>17</v>
      </c>
      <c r="C18" s="1">
        <v>40892</v>
      </c>
      <c r="D18" s="1">
        <v>41988</v>
      </c>
      <c r="E18" s="2">
        <v>7.9799999999999992E-3</v>
      </c>
      <c r="I18" s="17">
        <f t="shared" ref="I18:I27" si="4">YEARFRAC($G$1,C18,0)</f>
        <v>5.5555555555555558E-3</v>
      </c>
      <c r="J18" s="17">
        <f t="shared" si="3"/>
        <v>3.0055555555555555</v>
      </c>
      <c r="K18" s="20">
        <v>7.9799999999999992E-3</v>
      </c>
      <c r="M18" s="17">
        <v>7</v>
      </c>
      <c r="N18" s="17">
        <v>0.01</v>
      </c>
      <c r="O18" s="17">
        <v>0</v>
      </c>
    </row>
    <row r="19" spans="1:15" x14ac:dyDescent="0.2">
      <c r="B19" s="9" t="s">
        <v>18</v>
      </c>
      <c r="C19" s="1">
        <v>40892</v>
      </c>
      <c r="D19" s="1">
        <v>42353</v>
      </c>
      <c r="E19" s="2">
        <v>1.008E-2</v>
      </c>
      <c r="I19" s="17">
        <f t="shared" si="4"/>
        <v>5.5555555555555558E-3</v>
      </c>
      <c r="J19" s="17">
        <f t="shared" si="3"/>
        <v>4.0055555555555555</v>
      </c>
      <c r="K19" s="20">
        <v>1.008E-2</v>
      </c>
      <c r="M19" s="17">
        <v>10</v>
      </c>
      <c r="N19" s="17">
        <v>0.01</v>
      </c>
      <c r="O19" s="17">
        <v>0</v>
      </c>
    </row>
    <row r="20" spans="1:15" x14ac:dyDescent="0.2">
      <c r="B20" s="9" t="s">
        <v>19</v>
      </c>
      <c r="C20" s="1">
        <v>40892</v>
      </c>
      <c r="D20" s="1">
        <v>42719</v>
      </c>
      <c r="E20" s="2">
        <v>1.248E-2</v>
      </c>
      <c r="I20" s="17">
        <f t="shared" si="4"/>
        <v>5.5555555555555558E-3</v>
      </c>
      <c r="J20" s="17">
        <f t="shared" si="3"/>
        <v>5.0055555555555555</v>
      </c>
      <c r="K20" s="20">
        <v>1.248E-2</v>
      </c>
      <c r="M20" s="17">
        <v>12</v>
      </c>
      <c r="N20" s="17">
        <v>0.01</v>
      </c>
      <c r="O20" s="17">
        <v>0</v>
      </c>
    </row>
    <row r="21" spans="1:15" x14ac:dyDescent="0.2">
      <c r="B21" s="9" t="s">
        <v>20</v>
      </c>
      <c r="C21" s="1">
        <v>40892</v>
      </c>
      <c r="D21" s="1">
        <v>43449</v>
      </c>
      <c r="E21" s="2">
        <v>1.6899999999999998E-2</v>
      </c>
      <c r="I21" s="17">
        <f t="shared" si="4"/>
        <v>5.5555555555555558E-3</v>
      </c>
      <c r="J21" s="17">
        <f t="shared" si="3"/>
        <v>7.0055555555555555</v>
      </c>
      <c r="K21" s="20">
        <v>1.6899999999999998E-2</v>
      </c>
      <c r="M21" s="17">
        <v>15</v>
      </c>
      <c r="N21" s="17">
        <v>0.01</v>
      </c>
      <c r="O21" s="17">
        <v>0</v>
      </c>
    </row>
    <row r="22" spans="1:15" x14ac:dyDescent="0.2">
      <c r="B22" s="9" t="s">
        <v>21</v>
      </c>
      <c r="C22" s="1">
        <v>40892</v>
      </c>
      <c r="D22" s="1">
        <v>44545</v>
      </c>
      <c r="E22" s="2">
        <v>2.1059999999999999E-2</v>
      </c>
      <c r="I22" s="17">
        <f t="shared" si="4"/>
        <v>5.5555555555555558E-3</v>
      </c>
      <c r="J22" s="17">
        <f t="shared" si="3"/>
        <v>10.005555555555556</v>
      </c>
      <c r="K22" s="20">
        <v>2.1059999999999999E-2</v>
      </c>
      <c r="M22" s="17">
        <v>20</v>
      </c>
      <c r="N22" s="17">
        <v>0.01</v>
      </c>
      <c r="O22" s="17">
        <v>0</v>
      </c>
    </row>
    <row r="23" spans="1:15" x14ac:dyDescent="0.2">
      <c r="B23" s="9" t="s">
        <v>22</v>
      </c>
      <c r="C23" s="1">
        <v>40892</v>
      </c>
      <c r="D23" s="1">
        <v>45275</v>
      </c>
      <c r="E23" s="2">
        <v>2.298E-2</v>
      </c>
      <c r="I23" s="17">
        <f t="shared" si="4"/>
        <v>5.5555555555555558E-3</v>
      </c>
      <c r="J23" s="17">
        <f t="shared" si="3"/>
        <v>12.005555555555556</v>
      </c>
      <c r="K23" s="20">
        <v>2.298E-2</v>
      </c>
      <c r="M23" s="17">
        <v>25</v>
      </c>
      <c r="N23" s="17">
        <v>0.01</v>
      </c>
      <c r="O23" s="17">
        <v>0</v>
      </c>
    </row>
    <row r="24" spans="1:15" x14ac:dyDescent="0.2">
      <c r="B24" s="9" t="s">
        <v>23</v>
      </c>
      <c r="C24" s="1">
        <v>40892</v>
      </c>
      <c r="D24" s="1">
        <v>46371</v>
      </c>
      <c r="E24" s="2">
        <v>2.478E-2</v>
      </c>
      <c r="I24" s="17">
        <f t="shared" si="4"/>
        <v>5.5555555555555558E-3</v>
      </c>
      <c r="J24" s="17">
        <f t="shared" si="3"/>
        <v>15.005555555555556</v>
      </c>
      <c r="K24" s="20">
        <v>2.478E-2</v>
      </c>
      <c r="M24" s="17">
        <v>30</v>
      </c>
      <c r="N24" s="17">
        <v>0.01</v>
      </c>
      <c r="O24" s="17">
        <v>0</v>
      </c>
    </row>
    <row r="25" spans="1:15" x14ac:dyDescent="0.2">
      <c r="B25" s="9" t="s">
        <v>24</v>
      </c>
      <c r="C25" s="1">
        <v>40892</v>
      </c>
      <c r="D25" s="1">
        <v>48197</v>
      </c>
      <c r="E25" s="2">
        <v>2.5989999999999999E-2</v>
      </c>
      <c r="I25" s="17">
        <f t="shared" si="4"/>
        <v>5.5555555555555558E-3</v>
      </c>
      <c r="J25" s="17">
        <f t="shared" si="3"/>
        <v>20.005555555555556</v>
      </c>
      <c r="K25" s="20">
        <v>2.5989999999999999E-2</v>
      </c>
      <c r="M25" s="17">
        <v>40</v>
      </c>
      <c r="N25" s="17">
        <v>0.01</v>
      </c>
      <c r="O25" s="17">
        <v>0</v>
      </c>
    </row>
    <row r="26" spans="1:15" x14ac:dyDescent="0.2">
      <c r="B26" s="9" t="s">
        <v>25</v>
      </c>
      <c r="C26" s="1">
        <v>40892</v>
      </c>
      <c r="D26" s="1">
        <v>50024</v>
      </c>
      <c r="E26" s="2">
        <v>2.6595000000000001E-2</v>
      </c>
      <c r="I26" s="17">
        <f t="shared" si="4"/>
        <v>5.5555555555555558E-3</v>
      </c>
      <c r="J26" s="17">
        <f t="shared" si="3"/>
        <v>25.005555555555556</v>
      </c>
      <c r="K26" s="20">
        <v>2.6595000000000001E-2</v>
      </c>
      <c r="M26" s="17">
        <v>50</v>
      </c>
      <c r="N26" s="17">
        <v>0.01</v>
      </c>
      <c r="O26" s="17">
        <v>0</v>
      </c>
    </row>
    <row r="27" spans="1:15" x14ac:dyDescent="0.2">
      <c r="B27" s="9" t="s">
        <v>26</v>
      </c>
      <c r="C27" s="1">
        <v>40892</v>
      </c>
      <c r="D27" s="1">
        <v>51850</v>
      </c>
      <c r="E27" s="2">
        <v>2.6939999999999999E-2</v>
      </c>
      <c r="I27" s="17">
        <f t="shared" si="4"/>
        <v>5.5555555555555558E-3</v>
      </c>
      <c r="J27" s="17">
        <f t="shared" si="3"/>
        <v>30.005555555555556</v>
      </c>
      <c r="K27" s="20">
        <v>2.6939999999999999E-2</v>
      </c>
      <c r="M27" s="17">
        <v>60</v>
      </c>
      <c r="N27" s="17">
        <v>0.01</v>
      </c>
      <c r="O27" s="17">
        <v>0</v>
      </c>
    </row>
    <row r="28" spans="1:15" x14ac:dyDescent="0.2">
      <c r="B28" s="9"/>
      <c r="K28" s="16"/>
    </row>
    <row r="29" spans="1:15" x14ac:dyDescent="0.2">
      <c r="A29" s="6" t="s">
        <v>51</v>
      </c>
      <c r="B29" s="12"/>
      <c r="C29" s="13" t="s">
        <v>31</v>
      </c>
      <c r="D29" s="14" t="s">
        <v>2</v>
      </c>
      <c r="E29" s="14" t="s">
        <v>3</v>
      </c>
      <c r="K29" s="16"/>
    </row>
    <row r="30" spans="1:15" ht="15" x14ac:dyDescent="0.25">
      <c r="B30" s="9" t="s">
        <v>50</v>
      </c>
      <c r="C30" s="1">
        <v>40890</v>
      </c>
      <c r="D30" s="1">
        <v>40891</v>
      </c>
      <c r="E30" s="2">
        <v>6.9999999999999999E-4</v>
      </c>
      <c r="H30" s="23" t="s">
        <v>62</v>
      </c>
      <c r="I30" s="17">
        <f>YEARFRAC($G$1,C30,2)</f>
        <v>0</v>
      </c>
      <c r="J30" s="17">
        <f>YEARFRAC($G$1,D30,2)</f>
        <v>2.7777777777777779E-3</v>
      </c>
      <c r="K30" s="20">
        <v>6.9999999999999999E-4</v>
      </c>
    </row>
    <row r="31" spans="1:15" x14ac:dyDescent="0.2">
      <c r="B31" s="9"/>
    </row>
    <row r="32" spans="1:15" x14ac:dyDescent="0.2">
      <c r="B32" s="9"/>
    </row>
    <row r="33" spans="1:11" x14ac:dyDescent="0.2">
      <c r="A33" t="s">
        <v>27</v>
      </c>
      <c r="B33" s="12"/>
      <c r="C33" s="13" t="s">
        <v>31</v>
      </c>
      <c r="D33" s="14" t="s">
        <v>2</v>
      </c>
      <c r="E33" s="13" t="s">
        <v>32</v>
      </c>
    </row>
    <row r="34" spans="1:11" ht="15" x14ac:dyDescent="0.25">
      <c r="B34" s="9" t="s">
        <v>34</v>
      </c>
      <c r="C34" s="1">
        <v>40892</v>
      </c>
      <c r="D34" s="1">
        <v>40983</v>
      </c>
      <c r="E34">
        <v>45.88</v>
      </c>
      <c r="H34" s="23" t="s">
        <v>62</v>
      </c>
      <c r="I34" s="17">
        <f>YEARFRAC($G$1,C34,2)</f>
        <v>5.5555555555555558E-3</v>
      </c>
      <c r="J34" s="17">
        <f>YEARFRAC($G$1,D34,2)</f>
        <v>0.25833333333333336</v>
      </c>
      <c r="K34" s="17">
        <f>E34*0.0001</f>
        <v>4.5880000000000001E-3</v>
      </c>
    </row>
    <row r="35" spans="1:11" x14ac:dyDescent="0.2">
      <c r="B35" s="9" t="s">
        <v>35</v>
      </c>
      <c r="C35" s="1">
        <v>40892</v>
      </c>
      <c r="D35" s="1">
        <v>41075</v>
      </c>
      <c r="E35">
        <v>49.25</v>
      </c>
      <c r="I35" s="17">
        <f t="shared" ref="I35:I49" si="5">YEARFRAC($G$1,C35,2)</f>
        <v>5.5555555555555558E-3</v>
      </c>
      <c r="J35" s="17">
        <f t="shared" ref="J35:J49" si="6">YEARFRAC($G$1,D35,2)</f>
        <v>0.51388888888888884</v>
      </c>
      <c r="K35" s="17">
        <f t="shared" ref="K35:K49" si="7">E35*0.0001</f>
        <v>4.9250000000000006E-3</v>
      </c>
    </row>
    <row r="36" spans="1:11" x14ac:dyDescent="0.2">
      <c r="B36" s="9" t="s">
        <v>36</v>
      </c>
      <c r="C36" s="1">
        <v>40892</v>
      </c>
      <c r="D36" s="1">
        <v>41167</v>
      </c>
      <c r="E36">
        <v>51.13</v>
      </c>
      <c r="I36" s="17">
        <f t="shared" si="5"/>
        <v>5.5555555555555558E-3</v>
      </c>
      <c r="J36" s="17">
        <f t="shared" si="6"/>
        <v>0.76944444444444449</v>
      </c>
      <c r="K36" s="17">
        <f t="shared" si="7"/>
        <v>5.1130000000000004E-3</v>
      </c>
    </row>
    <row r="37" spans="1:11" x14ac:dyDescent="0.2">
      <c r="B37" s="9" t="s">
        <v>46</v>
      </c>
      <c r="C37" s="1">
        <v>40892</v>
      </c>
      <c r="D37" s="1">
        <v>41258</v>
      </c>
      <c r="E37">
        <v>52.5</v>
      </c>
      <c r="I37" s="17">
        <f t="shared" si="5"/>
        <v>5.5555555555555558E-3</v>
      </c>
      <c r="J37" s="17">
        <f t="shared" si="6"/>
        <v>1.0222222222222221</v>
      </c>
      <c r="K37" s="17">
        <f t="shared" si="7"/>
        <v>5.2500000000000003E-3</v>
      </c>
    </row>
    <row r="38" spans="1:11" x14ac:dyDescent="0.2">
      <c r="B38" s="9" t="s">
        <v>37</v>
      </c>
      <c r="C38" s="1">
        <v>40892</v>
      </c>
      <c r="D38" s="1">
        <v>41440</v>
      </c>
      <c r="E38">
        <v>53.5</v>
      </c>
      <c r="I38" s="17">
        <f t="shared" si="5"/>
        <v>5.5555555555555558E-3</v>
      </c>
      <c r="J38" s="17">
        <f t="shared" si="6"/>
        <v>1.5277777777777777</v>
      </c>
      <c r="K38" s="17">
        <f t="shared" si="7"/>
        <v>5.3500000000000006E-3</v>
      </c>
    </row>
    <row r="39" spans="1:11" x14ac:dyDescent="0.2">
      <c r="B39" s="9" t="s">
        <v>47</v>
      </c>
      <c r="C39" s="1">
        <v>40892</v>
      </c>
      <c r="D39" s="1">
        <v>41623</v>
      </c>
      <c r="E39">
        <v>53</v>
      </c>
      <c r="I39" s="17">
        <f t="shared" si="5"/>
        <v>5.5555555555555558E-3</v>
      </c>
      <c r="J39" s="17">
        <f t="shared" si="6"/>
        <v>2.036111111111111</v>
      </c>
      <c r="K39" s="17">
        <f t="shared" si="7"/>
        <v>5.3E-3</v>
      </c>
    </row>
    <row r="40" spans="1:11" x14ac:dyDescent="0.2">
      <c r="B40" s="9" t="s">
        <v>48</v>
      </c>
      <c r="C40" s="1">
        <v>40892</v>
      </c>
      <c r="D40" s="1">
        <v>41988</v>
      </c>
      <c r="E40">
        <v>51.63</v>
      </c>
      <c r="I40" s="17">
        <f t="shared" si="5"/>
        <v>5.5555555555555558E-3</v>
      </c>
      <c r="J40" s="17">
        <f t="shared" si="6"/>
        <v>3.05</v>
      </c>
      <c r="K40" s="17">
        <f t="shared" si="7"/>
        <v>5.1630000000000009E-3</v>
      </c>
    </row>
    <row r="41" spans="1:11" x14ac:dyDescent="0.2">
      <c r="B41" s="9" t="s">
        <v>49</v>
      </c>
      <c r="C41" s="1">
        <v>40892</v>
      </c>
      <c r="D41" s="1">
        <v>42353</v>
      </c>
      <c r="E41">
        <v>49.25</v>
      </c>
      <c r="I41" s="17">
        <f t="shared" si="5"/>
        <v>5.5555555555555558E-3</v>
      </c>
      <c r="J41" s="17">
        <f t="shared" si="6"/>
        <v>4.0638888888888891</v>
      </c>
      <c r="K41" s="17">
        <f t="shared" si="7"/>
        <v>4.9250000000000006E-3</v>
      </c>
    </row>
    <row r="42" spans="1:11" x14ac:dyDescent="0.2">
      <c r="B42" s="9" t="s">
        <v>38</v>
      </c>
      <c r="C42" s="1">
        <v>40892</v>
      </c>
      <c r="D42" s="1">
        <v>42719</v>
      </c>
      <c r="E42">
        <v>46.25</v>
      </c>
      <c r="I42" s="17">
        <f t="shared" si="5"/>
        <v>5.5555555555555558E-3</v>
      </c>
      <c r="J42" s="17">
        <f t="shared" si="6"/>
        <v>5.0805555555555557</v>
      </c>
      <c r="K42" s="17">
        <f t="shared" si="7"/>
        <v>4.6250000000000006E-3</v>
      </c>
    </row>
    <row r="43" spans="1:11" x14ac:dyDescent="0.2">
      <c r="B43" s="9" t="s">
        <v>39</v>
      </c>
      <c r="C43" s="1">
        <v>40892</v>
      </c>
      <c r="D43" s="1">
        <v>43449</v>
      </c>
      <c r="E43">
        <v>41.38</v>
      </c>
      <c r="I43" s="17">
        <f t="shared" si="5"/>
        <v>5.5555555555555558E-3</v>
      </c>
      <c r="J43" s="17">
        <f t="shared" si="6"/>
        <v>7.1083333333333334</v>
      </c>
      <c r="K43" s="17">
        <f t="shared" si="7"/>
        <v>4.1380000000000002E-3</v>
      </c>
    </row>
    <row r="44" spans="1:11" x14ac:dyDescent="0.2">
      <c r="B44" s="9" t="s">
        <v>40</v>
      </c>
      <c r="C44" s="1">
        <v>40892</v>
      </c>
      <c r="D44" s="1">
        <v>44545</v>
      </c>
      <c r="E44">
        <v>34.5</v>
      </c>
      <c r="I44" s="17">
        <f t="shared" si="5"/>
        <v>5.5555555555555558E-3</v>
      </c>
      <c r="J44" s="17">
        <f t="shared" si="6"/>
        <v>10.152777777777779</v>
      </c>
      <c r="K44" s="17">
        <f t="shared" si="7"/>
        <v>3.4500000000000004E-3</v>
      </c>
    </row>
    <row r="45" spans="1:11" x14ac:dyDescent="0.2">
      <c r="B45" s="9" t="s">
        <v>41</v>
      </c>
      <c r="C45" s="1">
        <v>40892</v>
      </c>
      <c r="D45" s="1">
        <v>45275</v>
      </c>
      <c r="E45">
        <v>31.75</v>
      </c>
      <c r="I45" s="17">
        <f t="shared" si="5"/>
        <v>5.5555555555555558E-3</v>
      </c>
      <c r="J45" s="17">
        <f t="shared" si="6"/>
        <v>12.180555555555555</v>
      </c>
      <c r="K45" s="17">
        <f t="shared" si="7"/>
        <v>3.1750000000000003E-3</v>
      </c>
    </row>
    <row r="46" spans="1:11" x14ac:dyDescent="0.2">
      <c r="B46" s="9" t="s">
        <v>42</v>
      </c>
      <c r="C46" s="1">
        <v>40892</v>
      </c>
      <c r="D46" s="1">
        <v>46371</v>
      </c>
      <c r="E46">
        <v>28.88</v>
      </c>
      <c r="I46" s="17">
        <f t="shared" si="5"/>
        <v>5.5555555555555558E-3</v>
      </c>
      <c r="J46" s="17">
        <f t="shared" si="6"/>
        <v>15.225</v>
      </c>
      <c r="K46" s="17">
        <f t="shared" si="7"/>
        <v>2.8879999999999999E-3</v>
      </c>
    </row>
    <row r="47" spans="1:11" x14ac:dyDescent="0.2">
      <c r="B47" s="9" t="s">
        <v>43</v>
      </c>
      <c r="C47" s="1">
        <v>40892</v>
      </c>
      <c r="D47" s="1">
        <v>48197</v>
      </c>
      <c r="E47">
        <v>25.5</v>
      </c>
      <c r="I47" s="17">
        <f t="shared" si="5"/>
        <v>5.5555555555555558E-3</v>
      </c>
      <c r="J47" s="17">
        <f t="shared" si="6"/>
        <v>20.297222222222221</v>
      </c>
      <c r="K47" s="17">
        <f t="shared" si="7"/>
        <v>2.5500000000000002E-3</v>
      </c>
    </row>
    <row r="48" spans="1:11" x14ac:dyDescent="0.2">
      <c r="B48" s="9" t="s">
        <v>44</v>
      </c>
      <c r="C48" s="1">
        <v>40892</v>
      </c>
      <c r="D48" s="1">
        <v>50024</v>
      </c>
      <c r="E48">
        <v>23.38</v>
      </c>
      <c r="I48" s="17">
        <f t="shared" si="5"/>
        <v>5.5555555555555558E-3</v>
      </c>
      <c r="J48" s="17">
        <f t="shared" si="6"/>
        <v>25.372222222222224</v>
      </c>
      <c r="K48" s="17">
        <f t="shared" si="7"/>
        <v>2.3379999999999998E-3</v>
      </c>
    </row>
    <row r="49" spans="2:11" x14ac:dyDescent="0.2">
      <c r="B49" s="9" t="s">
        <v>45</v>
      </c>
      <c r="C49" s="1">
        <v>40892</v>
      </c>
      <c r="D49" s="1">
        <v>51850</v>
      </c>
      <c r="E49">
        <v>21.88</v>
      </c>
      <c r="I49" s="17">
        <f t="shared" si="5"/>
        <v>5.5555555555555558E-3</v>
      </c>
      <c r="J49" s="17">
        <f t="shared" si="6"/>
        <v>30.444444444444443</v>
      </c>
      <c r="K49" s="17">
        <f t="shared" si="7"/>
        <v>2.1879999999999998E-3</v>
      </c>
    </row>
    <row r="56" spans="2:11" x14ac:dyDescent="0.2">
      <c r="D56" s="3"/>
    </row>
    <row r="57" spans="2:11" x14ac:dyDescent="0.2">
      <c r="D57" s="3"/>
    </row>
    <row r="71" spans="4:4" x14ac:dyDescent="0.2">
      <c r="D71" s="3"/>
    </row>
    <row r="72" spans="4:4" x14ac:dyDescent="0.2">
      <c r="D72" s="3"/>
    </row>
  </sheetData>
  <mergeCells count="1">
    <mergeCell ref="M8:O8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1"/>
  <sheetViews>
    <sheetView tabSelected="1" topLeftCell="A10" workbookViewId="0">
      <selection activeCell="F18" sqref="F18"/>
    </sheetView>
  </sheetViews>
  <sheetFormatPr defaultRowHeight="12.75" x14ac:dyDescent="0.2"/>
  <cols>
    <col min="1" max="1" width="12.42578125" style="24" bestFit="1" customWidth="1"/>
    <col min="2" max="2" width="12" style="24" bestFit="1" customWidth="1"/>
    <col min="3" max="3" width="9.7109375" style="24" customWidth="1"/>
    <col min="4" max="4" width="14.28515625" style="24" bestFit="1" customWidth="1"/>
    <col min="5" max="5" width="12.7109375" style="24" customWidth="1"/>
    <col min="6" max="6" width="12.5703125" style="24" customWidth="1"/>
    <col min="7" max="7" width="9.140625" style="24"/>
    <col min="8" max="8" width="23.28515625" style="24" bestFit="1" customWidth="1"/>
    <col min="9" max="9" width="21.5703125" style="24" bestFit="1" customWidth="1"/>
    <col min="10" max="10" width="17.42578125" style="24" customWidth="1"/>
    <col min="11" max="11" width="16.85546875" style="24" bestFit="1" customWidth="1"/>
    <col min="12" max="12" width="24.85546875" style="24" bestFit="1" customWidth="1"/>
    <col min="13" max="13" width="9.140625" style="24"/>
    <col min="14" max="14" width="13.85546875" style="24" bestFit="1" customWidth="1"/>
    <col min="15" max="15" width="13.140625" style="24" bestFit="1" customWidth="1"/>
    <col min="16" max="16" width="16.42578125" style="24" bestFit="1" customWidth="1"/>
    <col min="17" max="17" width="15.7109375" style="24" bestFit="1" customWidth="1"/>
    <col min="18" max="18" width="18.7109375" style="24" customWidth="1"/>
    <col min="19" max="19" width="12.140625" style="24" customWidth="1"/>
    <col min="20" max="16384" width="9.140625" style="24"/>
  </cols>
  <sheetData>
    <row r="1" spans="1:19" x14ac:dyDescent="0.2">
      <c r="A1" s="32" t="s">
        <v>61</v>
      </c>
      <c r="B1" s="32"/>
      <c r="D1" s="32" t="s">
        <v>64</v>
      </c>
      <c r="E1" s="25" t="s">
        <v>54</v>
      </c>
      <c r="F1" s="24">
        <v>0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N1" s="25" t="s">
        <v>71</v>
      </c>
      <c r="O1" s="25" t="s">
        <v>72</v>
      </c>
      <c r="P1" s="25" t="s">
        <v>73</v>
      </c>
      <c r="Q1" s="25" t="s">
        <v>74</v>
      </c>
      <c r="R1" s="25" t="s">
        <v>76</v>
      </c>
      <c r="S1" s="25" t="s">
        <v>75</v>
      </c>
    </row>
    <row r="2" spans="1:19" ht="15.75" customHeight="1" x14ac:dyDescent="0.2">
      <c r="A2" s="32"/>
      <c r="B2" s="32"/>
      <c r="D2" s="32"/>
      <c r="G2" s="24">
        <v>0.5</v>
      </c>
      <c r="H2" s="27">
        <f>_xll.InstantaneousRate(G2,$D$4:$D$21,$A$4:$A$21)</f>
        <v>6.7194973962678073E-3</v>
      </c>
      <c r="I2" s="27">
        <f>_xll.InstantaneousRate(G2,$D$4:$D$21,$B$4:$B$21)</f>
        <v>1.3187903403418454E-3</v>
      </c>
      <c r="J2" s="27">
        <f>H2-I2</f>
        <v>5.400707055925962E-3</v>
      </c>
      <c r="K2" s="27">
        <f>_xll.LIBORForwardRate(G2,G2+0.25,$D$4:$D$21,$A$4:$A$21)</f>
        <v>6.8992980176920682E-3</v>
      </c>
      <c r="L2" s="27">
        <f>_xll.discFactor($F$1,G2,$D$4:$D$21,$B$4:$B$21)</f>
        <v>0.99949013167291945</v>
      </c>
      <c r="N2" s="24">
        <f>_xll.EchoShort('3M LIBOR  OIS'!I17)</f>
        <v>0</v>
      </c>
      <c r="O2" s="24">
        <f>_xll.EchoShort('3M LIBOR  OIS'!J17)</f>
        <v>2</v>
      </c>
      <c r="P2" s="29">
        <f>_xll.EchoDouble('3M LIBOR  OIS'!K17)</f>
        <v>6.8999999999999999E-3</v>
      </c>
      <c r="Q2" s="30">
        <f>_xll.swapRate(N2,O2,$D$4:$D$21,$A$4:$A$21,$B$4:$B$21)</f>
        <v>6.7660040378672813E-3</v>
      </c>
      <c r="R2" s="30">
        <f>P2-Q2</f>
        <v>1.3399596213271858E-4</v>
      </c>
      <c r="S2" s="27">
        <f>_xll.swapPV(N2,O2,$D$4:$D$21,$A$4:$A$21,$B$4:$B$21,P2)</f>
        <v>1.0857127973085376E-2</v>
      </c>
    </row>
    <row r="3" spans="1:19" ht="15.75" x14ac:dyDescent="0.2">
      <c r="A3" s="22" t="s">
        <v>29</v>
      </c>
      <c r="B3" s="22" t="s">
        <v>60</v>
      </c>
      <c r="D3" s="32"/>
      <c r="G3" s="24">
        <v>1</v>
      </c>
      <c r="H3" s="27">
        <f>_xll.InstantaneousRate(G3,$D$4:$D$21,$A$4:$A$21)</f>
        <v>7.0551377389263667E-3</v>
      </c>
      <c r="I3" s="27">
        <f>_xll.InstantaneousRate(G3,$D$4:$D$21,$B$4:$B$21)</f>
        <v>1.4722107409612401E-3</v>
      </c>
      <c r="J3" s="27">
        <f t="shared" ref="J3:J61" si="0">H3-I3</f>
        <v>5.5829269979651265E-3</v>
      </c>
      <c r="K3" s="27">
        <f>_xll.LIBORForwardRate(G3,G3+0.25,$D$4:$D$21,$A$4:$A$21)</f>
        <v>7.0303404545555281E-3</v>
      </c>
      <c r="L3" s="27">
        <f>_xll.discFactor($F$1,G3,$D$4:$D$21,$B$4:$B$21)</f>
        <v>0.99876609363326985</v>
      </c>
      <c r="N3" s="24">
        <f>_xll.EchoShort('3M LIBOR  OIS'!I18)</f>
        <v>0</v>
      </c>
      <c r="O3" s="24">
        <f>_xll.EchoShort('3M LIBOR  OIS'!J18)</f>
        <v>3</v>
      </c>
      <c r="P3" s="29">
        <f>_xll.EchoDouble('3M LIBOR  OIS'!K18)</f>
        <v>7.9799999999999992E-3</v>
      </c>
      <c r="Q3" s="30">
        <f>_xll.swapRate(N3,O3,$D$4:$D$21,$A$4:$A$21,$B$4:$B$21)</f>
        <v>7.7959269438664918E-3</v>
      </c>
      <c r="R3" s="30">
        <f t="shared" ref="R3:R12" si="1">P3-Q3</f>
        <v>1.8407305613350744E-4</v>
      </c>
      <c r="S3" s="27">
        <f>_xll.swapPV(N3,O3,$D$4:$D$21,$A$4:$A$21,$B$4:$B$21,P3)</f>
        <v>1.5167713127165345E-2</v>
      </c>
    </row>
    <row r="4" spans="1:19" x14ac:dyDescent="0.2">
      <c r="A4" s="27">
        <f t="array" ref="A4:B21">_xll.fitCurve('3M LIBOR  OIS'!M10:M27,'3M LIBOR  OIS'!N10:O27,'3M LIBOR  OIS'!I3:K4,'3M LIBOR  OIS'!I30:K30,'3M LIBOR  OIS'!I7:K14,'3M LIBOR  OIS'!I17:K27,'3M LIBOR  OIS'!I34:K49)</f>
        <v>1.1159712731813102E-2</v>
      </c>
      <c r="B4" s="27">
        <v>-6.2429549299226482E-4</v>
      </c>
      <c r="D4" s="17">
        <f>_xll.EchoDouble('3M LIBOR  OIS'!M10)</f>
        <v>-1</v>
      </c>
      <c r="G4" s="24">
        <v>1.5</v>
      </c>
      <c r="H4" s="27">
        <f>_xll.InstantaneousRate(G4,$D$4:$D$21,$A$4:$A$21)</f>
        <v>6.9497520589644982E-3</v>
      </c>
      <c r="I4" s="27">
        <f>_xll.InstantaneousRate(G4,$D$4:$D$21,$B$4:$B$21)</f>
        <v>1.4836959251785433E-3</v>
      </c>
      <c r="J4" s="27">
        <f t="shared" si="0"/>
        <v>5.4660561337859549E-3</v>
      </c>
      <c r="K4" s="27">
        <f>_xll.LIBORForwardRate(G4,G4+0.25,$D$4:$D$21,$A$4:$A$21)</f>
        <v>7.0037901246449152E-3</v>
      </c>
      <c r="L4" s="27">
        <f>_xll.discFactor($F$1,G4,$D$4:$D$21,$B$4:$B$21)</f>
        <v>0.99804336348813938</v>
      </c>
      <c r="N4" s="24">
        <f>_xll.EchoShort('3M LIBOR  OIS'!I19)</f>
        <v>0</v>
      </c>
      <c r="O4" s="24">
        <f>_xll.EchoShort('3M LIBOR  OIS'!J19)</f>
        <v>4</v>
      </c>
      <c r="P4" s="29">
        <f>_xll.EchoDouble('3M LIBOR  OIS'!K19)</f>
        <v>1.008E-2</v>
      </c>
      <c r="Q4" s="30">
        <f>_xll.swapRate(N4,O4,$D$4:$D$21,$A$4:$A$21,$B$4:$B$21)</f>
        <v>1.0006307456705716E-2</v>
      </c>
      <c r="R4" s="30">
        <f t="shared" si="1"/>
        <v>7.3692543294284762E-5</v>
      </c>
      <c r="S4" s="27">
        <f>_xll.swapPV(N4,O4,$D$4:$D$21,$A$4:$A$21,$B$4:$B$21,P4)</f>
        <v>1.4758200273806029E-2</v>
      </c>
    </row>
    <row r="5" spans="1:19" x14ac:dyDescent="0.2">
      <c r="A5" s="27">
        <v>4.2655321702572179E-3</v>
      </c>
      <c r="B5" s="27">
        <v>8.7227205524874048E-4</v>
      </c>
      <c r="D5" s="17">
        <f>_xll.EchoDouble('3M LIBOR  OIS'!M11)</f>
        <v>-0.7</v>
      </c>
      <c r="G5" s="24">
        <v>2</v>
      </c>
      <c r="H5" s="27">
        <f>_xll.InstantaneousRate(G5,$D$4:$D$21,$A$4:$A$21)</f>
        <v>7.538170459331528E-3</v>
      </c>
      <c r="I5" s="27">
        <f>_xll.InstantaneousRate(G5,$D$4:$D$21,$B$4:$B$21)</f>
        <v>2.3615177735041102E-3</v>
      </c>
      <c r="J5" s="27">
        <f t="shared" si="0"/>
        <v>5.1766526858274178E-3</v>
      </c>
      <c r="K5" s="27">
        <f>_xll.LIBORForwardRate(G5,G5+0.25,$D$4:$D$21,$A$4:$A$21)</f>
        <v>7.9471680203111461E-3</v>
      </c>
      <c r="L5" s="27">
        <f>_xll.discFactor($F$1,G5,$D$4:$D$21,$B$4:$B$21)</f>
        <v>0.99714134014655542</v>
      </c>
      <c r="N5" s="24">
        <f>_xll.EchoShort('3M LIBOR  OIS'!I20)</f>
        <v>0</v>
      </c>
      <c r="O5" s="24">
        <f>_xll.EchoShort('3M LIBOR  OIS'!J20)</f>
        <v>5</v>
      </c>
      <c r="P5" s="29">
        <f>_xll.EchoDouble('3M LIBOR  OIS'!K20)</f>
        <v>1.248E-2</v>
      </c>
      <c r="Q5" s="30">
        <f>_xll.swapRate(N5,O5,$D$4:$D$21,$A$4:$A$21,$B$4:$B$21)</f>
        <v>1.2582417747114617E-2</v>
      </c>
      <c r="R5" s="30">
        <f t="shared" si="1"/>
        <v>-1.0241774711461718E-4</v>
      </c>
      <c r="S5" s="27">
        <f>_xll.swapPV(N5,O5,$D$4:$D$21,$A$4:$A$21,$B$4:$B$21,P5)</f>
        <v>-1.6035606456708124E-4</v>
      </c>
    </row>
    <row r="6" spans="1:19" x14ac:dyDescent="0.2">
      <c r="A6" s="27">
        <v>6.1209610249943853E-3</v>
      </c>
      <c r="B6" s="27">
        <v>9.4270043110386234E-4</v>
      </c>
      <c r="D6" s="17">
        <f>_xll.EchoDouble('3M LIBOR  OIS'!M12)</f>
        <v>-0.3</v>
      </c>
      <c r="G6" s="24">
        <v>2.5</v>
      </c>
      <c r="H6" s="27">
        <f>_xll.InstantaneousRate(G6,$D$4:$D$21,$A$4:$A$21)</f>
        <v>9.6547548000860198E-3</v>
      </c>
      <c r="I6" s="27">
        <f>_xll.InstantaneousRate(G6,$D$4:$D$21,$B$4:$B$21)</f>
        <v>4.8302161136922804E-3</v>
      </c>
      <c r="J6" s="27">
        <f t="shared" si="0"/>
        <v>4.8245386863937393E-3</v>
      </c>
      <c r="K6" s="27">
        <f>_xll.LIBORForwardRate(G6,G6+0.25,$D$4:$D$21,$A$4:$A$21)</f>
        <v>1.041523291337576E-2</v>
      </c>
      <c r="L6" s="27">
        <f>_xll.discFactor($F$1,G6,$D$4:$D$21,$B$4:$B$21)</f>
        <v>0.9954135109621195</v>
      </c>
      <c r="N6" s="24">
        <f>_xll.EchoShort('3M LIBOR  OIS'!I21)</f>
        <v>0</v>
      </c>
      <c r="O6" s="24">
        <f>_xll.EchoShort('3M LIBOR  OIS'!J21)</f>
        <v>7</v>
      </c>
      <c r="P6" s="29">
        <f>_xll.EchoDouble('3M LIBOR  OIS'!K21)</f>
        <v>1.6899999999999998E-2</v>
      </c>
      <c r="Q6" s="30">
        <f>_xll.swapRate(N6,O6,$D$4:$D$21,$A$4:$A$21,$B$4:$B$21)</f>
        <v>1.6839858062546478E-2</v>
      </c>
      <c r="R6" s="30">
        <f t="shared" si="1"/>
        <v>6.0141937453520727E-5</v>
      </c>
      <c r="S6" s="27">
        <f>_xll.swapPV(N6,O6,$D$4:$D$21,$A$4:$A$21,$B$4:$B$21,P6)</f>
        <v>-9.503567520805388E-2</v>
      </c>
    </row>
    <row r="7" spans="1:19" x14ac:dyDescent="0.2">
      <c r="A7" s="27">
        <v>7.8921531401201506E-3</v>
      </c>
      <c r="B7" s="27">
        <v>2.0734076442843119E-3</v>
      </c>
      <c r="D7" s="17">
        <f>_xll.EchoDouble('3M LIBOR  OIS'!M13)</f>
        <v>0</v>
      </c>
      <c r="G7" s="24">
        <v>3</v>
      </c>
      <c r="H7" s="27">
        <f>_xll.InstantaneousRate(G7,$D$4:$D$21,$A$4:$A$21)</f>
        <v>1.2931993969723493E-2</v>
      </c>
      <c r="I7" s="27">
        <f>_xll.InstantaneousRate(G7,$D$4:$D$21,$B$4:$B$21)</f>
        <v>8.4794025624733271E-3</v>
      </c>
      <c r="J7" s="27">
        <f t="shared" si="0"/>
        <v>4.4525914072501664E-3</v>
      </c>
      <c r="K7" s="27">
        <f>_xll.LIBORForwardRate(G7,G7+0.25,$D$4:$D$21,$A$4:$A$21)</f>
        <v>1.3881802223019157E-2</v>
      </c>
      <c r="L7" s="27">
        <f>_xll.discFactor($F$1,G7,$D$4:$D$21,$B$4:$B$21)</f>
        <v>0.99214132437463343</v>
      </c>
      <c r="N7" s="24">
        <f>_xll.EchoShort('3M LIBOR  OIS'!I22)</f>
        <v>0</v>
      </c>
      <c r="O7" s="24">
        <f>_xll.EchoShort('3M LIBOR  OIS'!J22)</f>
        <v>10</v>
      </c>
      <c r="P7" s="29">
        <f>_xll.EchoDouble('3M LIBOR  OIS'!K22)</f>
        <v>2.1059999999999999E-2</v>
      </c>
      <c r="Q7" s="30">
        <f>_xll.swapRate(N7,O7,$D$4:$D$21,$A$4:$A$21,$B$4:$B$21)</f>
        <v>2.1016442038836885E-2</v>
      </c>
      <c r="R7" s="30">
        <f t="shared" si="1"/>
        <v>4.3557961163114001E-5</v>
      </c>
      <c r="S7" s="27">
        <f>_xll.swapPV(N7,O7,$D$4:$D$21,$A$4:$A$21,$B$4:$B$21,P7)</f>
        <v>-0.42743860027228464</v>
      </c>
    </row>
    <row r="8" spans="1:19" x14ac:dyDescent="0.2">
      <c r="A8" s="27">
        <v>4.3187678066132721E-3</v>
      </c>
      <c r="B8" s="27">
        <v>-8.3867237999429964E-4</v>
      </c>
      <c r="D8" s="17">
        <f>_xll.EchoDouble('3M LIBOR  OIS'!M14)</f>
        <v>0.25</v>
      </c>
      <c r="G8" s="24">
        <v>3.5</v>
      </c>
      <c r="H8" s="27">
        <f>_xll.InstantaneousRate(G8,$D$4:$D$21,$A$4:$A$21)</f>
        <v>1.6701908613848696E-2</v>
      </c>
      <c r="I8" s="27">
        <f>_xll.InstantaneousRate(G8,$D$4:$D$21,$B$4:$B$21)</f>
        <v>1.26149566838215E-2</v>
      </c>
      <c r="J8" s="27">
        <f t="shared" si="0"/>
        <v>4.086951930027196E-3</v>
      </c>
      <c r="K8" s="27">
        <f>_xll.LIBORForwardRate(G8,G8+0.25,$D$4:$D$21,$A$4:$A$21)</f>
        <v>1.7678474709505565E-2</v>
      </c>
      <c r="L8" s="27">
        <f>_xll.discFactor($F$1,G8,$D$4:$D$21,$B$4:$B$21)</f>
        <v>0.98692867846043697</v>
      </c>
      <c r="N8" s="24">
        <f>_xll.EchoShort('3M LIBOR  OIS'!I23)</f>
        <v>0</v>
      </c>
      <c r="O8" s="24">
        <f>_xll.EchoShort('3M LIBOR  OIS'!J23)</f>
        <v>12</v>
      </c>
      <c r="P8" s="29">
        <f>_xll.EchoDouble('3M LIBOR  OIS'!K23)</f>
        <v>2.298E-2</v>
      </c>
      <c r="Q8" s="30">
        <f>_xll.swapRate(N8,O8,$D$4:$D$21,$A$4:$A$21,$B$4:$B$21)</f>
        <v>2.2997866198472158E-2</v>
      </c>
      <c r="R8" s="30">
        <f t="shared" si="1"/>
        <v>-1.7866198472157174E-5</v>
      </c>
      <c r="S8" s="27">
        <f>_xll.swapPV(N8,O8,$D$4:$D$21,$A$4:$A$21,$B$4:$B$21,P8)</f>
        <v>-0.77305632954490489</v>
      </c>
    </row>
    <row r="9" spans="1:19" x14ac:dyDescent="0.2">
      <c r="A9" s="27">
        <v>2.5859185008254439E-2</v>
      </c>
      <c r="B9" s="27">
        <v>2.2545285171305166E-2</v>
      </c>
      <c r="D9" s="17">
        <f>_xll.EchoDouble('3M LIBOR  OIS'!M15)</f>
        <v>0.5</v>
      </c>
      <c r="G9" s="24">
        <v>4</v>
      </c>
      <c r="H9" s="27">
        <f>_xll.InstantaneousRate(G9,$D$4:$D$21,$A$4:$A$21)</f>
        <v>2.0296519378066397E-2</v>
      </c>
      <c r="I9" s="27">
        <f>_xll.InstantaneousRate(G9,$D$4:$D$21,$B$4:$B$21)</f>
        <v>1.6542758041711063E-2</v>
      </c>
      <c r="J9" s="27">
        <f t="shared" si="0"/>
        <v>3.7537613363553338E-3</v>
      </c>
      <c r="K9" s="27">
        <f>_xll.LIBORForwardRate(G9,G9+0.25,$D$4:$D$21,$A$4:$A$21)</f>
        <v>2.1138831996963425E-2</v>
      </c>
      <c r="L9" s="27">
        <f>_xll.discFactor($F$1,G9,$D$4:$D$21,$B$4:$B$21)</f>
        <v>0.97973804018849808</v>
      </c>
      <c r="N9" s="24">
        <f>_xll.EchoShort('3M LIBOR  OIS'!I24)</f>
        <v>0</v>
      </c>
      <c r="O9" s="24">
        <f>_xll.EchoShort('3M LIBOR  OIS'!J24)</f>
        <v>15</v>
      </c>
      <c r="P9" s="29">
        <f>_xll.EchoDouble('3M LIBOR  OIS'!K24)</f>
        <v>2.478E-2</v>
      </c>
      <c r="Q9" s="30">
        <f>_xll.swapRate(N9,O9,$D$4:$D$21,$A$4:$A$21,$B$4:$B$21)</f>
        <v>2.4808699763401589E-2</v>
      </c>
      <c r="R9" s="30">
        <f t="shared" si="1"/>
        <v>-2.8699763401588557E-5</v>
      </c>
      <c r="S9" s="27">
        <f>_xll.swapPV(N9,O9,$D$4:$D$21,$A$4:$A$21,$B$4:$B$21,P9)</f>
        <v>-1.3949788890771004</v>
      </c>
    </row>
    <row r="10" spans="1:19" x14ac:dyDescent="0.2">
      <c r="A10" s="27">
        <v>2.9882914803226465E-2</v>
      </c>
      <c r="B10" s="27">
        <v>2.7275588632808816E-2</v>
      </c>
      <c r="D10" s="17">
        <f>_xll.EchoDouble('3M LIBOR  OIS'!M16)</f>
        <v>2</v>
      </c>
      <c r="G10" s="24">
        <v>4.5</v>
      </c>
      <c r="H10" s="27">
        <f>_xll.InstantaneousRate(G10,$D$4:$D$21,$A$4:$A$21)</f>
        <v>2.3182037469111891E-2</v>
      </c>
      <c r="I10" s="27">
        <f>_xll.InstantaneousRate(G10,$D$4:$D$21,$B$4:$B$21)</f>
        <v>1.9709607857361776E-2</v>
      </c>
      <c r="J10" s="27">
        <f t="shared" si="0"/>
        <v>3.4724296117501149E-3</v>
      </c>
      <c r="K10" s="27">
        <f>_xll.LIBORForwardRate(G10,G10+0.25,$D$4:$D$21,$A$4:$A$21)</f>
        <v>2.3851560369183566E-2</v>
      </c>
      <c r="L10" s="27">
        <f>_xll.discFactor($F$1,G10,$D$4:$D$21,$B$4:$B$21)</f>
        <v>0.97086527974728154</v>
      </c>
      <c r="N10" s="24">
        <f>_xll.EchoShort('3M LIBOR  OIS'!I25)</f>
        <v>0</v>
      </c>
      <c r="O10" s="24">
        <f>_xll.EchoShort('3M LIBOR  OIS'!J25)</f>
        <v>20</v>
      </c>
      <c r="P10" s="29">
        <f>_xll.EchoDouble('3M LIBOR  OIS'!K25)</f>
        <v>2.5989999999999999E-2</v>
      </c>
      <c r="Q10" s="30">
        <f>_xll.swapRate(N10,O10,$D$4:$D$21,$A$4:$A$21,$B$4:$B$21)</f>
        <v>2.589044900090778E-2</v>
      </c>
      <c r="R10" s="30">
        <f t="shared" si="1"/>
        <v>9.9550999092219011E-5</v>
      </c>
      <c r="S10" s="27">
        <f>_xll.swapPV(N10,O10,$D$4:$D$21,$A$4:$A$21,$B$4:$B$21,P10)</f>
        <v>-2.4945332392160253</v>
      </c>
    </row>
    <row r="11" spans="1:19" x14ac:dyDescent="0.2">
      <c r="A11" s="27">
        <v>3.3257071479018498E-2</v>
      </c>
      <c r="B11" s="27">
        <v>3.2216575140695182E-2</v>
      </c>
      <c r="D11" s="17">
        <f>_xll.EchoDouble('3M LIBOR  OIS'!M17)</f>
        <v>4</v>
      </c>
      <c r="G11" s="24">
        <v>5</v>
      </c>
      <c r="H11" s="27">
        <f>_xll.InstantaneousRate(G11,$D$4:$D$21,$A$4:$A$21)</f>
        <v>2.5361436338242678E-2</v>
      </c>
      <c r="I11" s="27">
        <f>_xll.InstantaneousRate(G11,$D$4:$D$21,$B$4:$B$21)</f>
        <v>2.2125993980975436E-2</v>
      </c>
      <c r="J11" s="27">
        <f t="shared" si="0"/>
        <v>3.2354423572672417E-3</v>
      </c>
      <c r="K11" s="27">
        <f>_xll.LIBORForwardRate(G11,G11+0.25,$D$4:$D$21,$A$4:$A$21)</f>
        <v>2.5889885398705736E-2</v>
      </c>
      <c r="L11" s="27">
        <f>_xll.discFactor($F$1,G11,$D$4:$D$21,$B$4:$B$21)</f>
        <v>0.96073700112276628</v>
      </c>
      <c r="N11" s="24">
        <f>_xll.EchoShort('3M LIBOR  OIS'!I26)</f>
        <v>0</v>
      </c>
      <c r="O11" s="24">
        <f>_xll.EchoShort('3M LIBOR  OIS'!J26)</f>
        <v>25</v>
      </c>
      <c r="P11" s="29">
        <f>_xll.EchoDouble('3M LIBOR  OIS'!K26)</f>
        <v>2.6595000000000001E-2</v>
      </c>
      <c r="Q11" s="30">
        <f>_xll.swapRate(N11,O11,$D$4:$D$21,$A$4:$A$21,$B$4:$B$21)</f>
        <v>2.6681128286960488E-2</v>
      </c>
      <c r="R11" s="30">
        <f t="shared" si="1"/>
        <v>-8.612828696048791E-5</v>
      </c>
      <c r="S11" s="27">
        <f>_xll.swapPV(N11,O11,$D$4:$D$21,$A$4:$A$21,$B$4:$B$21,P11)</f>
        <v>-3.7494350099346598</v>
      </c>
    </row>
    <row r="12" spans="1:19" x14ac:dyDescent="0.2">
      <c r="A12" s="27">
        <v>3.5831266251865342E-2</v>
      </c>
      <c r="B12" s="27">
        <v>3.4877038755129548E-2</v>
      </c>
      <c r="D12" s="17">
        <f>_xll.EchoDouble('3M LIBOR  OIS'!M18)</f>
        <v>7</v>
      </c>
      <c r="G12" s="24">
        <v>5.5</v>
      </c>
      <c r="H12" s="27">
        <f>_xll.InstantaneousRate(G12,$D$4:$D$21,$A$4:$A$21)</f>
        <v>2.6971879997846851E-2</v>
      </c>
      <c r="I12" s="27">
        <f>_xll.InstantaneousRate(G12,$D$4:$D$21,$B$4:$B$21)</f>
        <v>2.3943325919999339E-2</v>
      </c>
      <c r="J12" s="27">
        <f t="shared" si="0"/>
        <v>3.0285540778475124E-3</v>
      </c>
      <c r="K12" s="27">
        <f>_xll.LIBORForwardRate(G12,G12+0.25,$D$4:$D$21,$A$4:$A$21)</f>
        <v>2.7390881546627277E-2</v>
      </c>
      <c r="L12" s="27">
        <f>_xll.discFactor($F$1,G12,$D$4:$D$21,$B$4:$B$21)</f>
        <v>0.94971464256480342</v>
      </c>
      <c r="N12" s="24">
        <f>_xll.EchoShort('3M LIBOR  OIS'!I27)</f>
        <v>0</v>
      </c>
      <c r="O12" s="24">
        <f>_xll.EchoShort('3M LIBOR  OIS'!J27)</f>
        <v>30</v>
      </c>
      <c r="P12" s="29">
        <f>_xll.EchoDouble('3M LIBOR  OIS'!K27)</f>
        <v>2.6939999999999999E-2</v>
      </c>
      <c r="Q12" s="30">
        <f>_xll.swapRate(N12,O12,$D$4:$D$21,$A$4:$A$21,$B$4:$B$21)</f>
        <v>2.689556095672908E-2</v>
      </c>
      <c r="R12" s="30">
        <f t="shared" si="1"/>
        <v>4.4439043270918382E-5</v>
      </c>
      <c r="S12" s="27">
        <f>_xll.swapPV(N12,O12,$D$4:$D$21,$A$4:$A$21,$B$4:$B$21,P12)</f>
        <v>-4.9095126277652232</v>
      </c>
    </row>
    <row r="13" spans="1:19" x14ac:dyDescent="0.2">
      <c r="A13" s="27">
        <v>2.9990513187085285E-2</v>
      </c>
      <c r="B13" s="27">
        <v>2.7603863785085052E-2</v>
      </c>
      <c r="D13" s="17">
        <f>_xll.EchoDouble('3M LIBOR  OIS'!M19)</f>
        <v>10</v>
      </c>
      <c r="G13" s="24">
        <v>6</v>
      </c>
      <c r="H13" s="27">
        <f>_xll.InstantaneousRate(G13,$D$4:$D$21,$A$4:$A$21)</f>
        <v>2.815053246031245E-2</v>
      </c>
      <c r="I13" s="27">
        <f>_xll.InstantaneousRate(G13,$D$4:$D$21,$B$4:$B$21)</f>
        <v>2.5313013181880794E-2</v>
      </c>
      <c r="J13" s="27">
        <f t="shared" si="0"/>
        <v>2.8375192784316564E-3</v>
      </c>
      <c r="K13" s="27">
        <f>_xll.LIBORForwardRate(G13,G13+0.25,$D$4:$D$21,$A$4:$A$21)</f>
        <v>2.8492085831151037E-2</v>
      </c>
      <c r="L13" s="27">
        <f>_xll.discFactor($F$1,G13,$D$4:$D$21,$B$4:$B$21)</f>
        <v>0.93807694912194162</v>
      </c>
    </row>
    <row r="14" spans="1:19" x14ac:dyDescent="0.2">
      <c r="A14" s="27">
        <v>2.838215553171641E-2</v>
      </c>
      <c r="B14" s="27">
        <v>2.7157495417317983E-2</v>
      </c>
      <c r="D14" s="17">
        <f>_xll.EchoDouble('3M LIBOR  OIS'!M20)</f>
        <v>12</v>
      </c>
      <c r="G14" s="24">
        <v>6.5</v>
      </c>
      <c r="H14" s="27">
        <f>_xll.InstantaneousRate(G14,$D$4:$D$21,$A$4:$A$21)</f>
        <v>2.9034557738027555E-2</v>
      </c>
      <c r="I14" s="27">
        <f>_xll.InstantaneousRate(G14,$D$4:$D$21,$B$4:$B$21)</f>
        <v>2.6386465274067111E-2</v>
      </c>
      <c r="J14" s="27">
        <f t="shared" si="0"/>
        <v>2.6480924639604442E-3</v>
      </c>
      <c r="K14" s="27">
        <f>_xll.LIBORForwardRate(G14,G14+0.25,$D$4:$D$21,$A$4:$A$21)</f>
        <v>2.9331337498611276E-2</v>
      </c>
      <c r="L14" s="27">
        <f>_xll.discFactor($F$1,G14,$D$4:$D$21,$B$4:$B$21)</f>
        <v>0.92602193527858345</v>
      </c>
    </row>
    <row r="15" spans="1:19" x14ac:dyDescent="0.2">
      <c r="A15" s="27">
        <v>3.4550646230869904E-2</v>
      </c>
      <c r="B15" s="27">
        <v>3.5468586573135188E-2</v>
      </c>
      <c r="D15" s="17">
        <f>_xll.EchoDouble('3M LIBOR  OIS'!M21)</f>
        <v>15</v>
      </c>
      <c r="G15" s="24">
        <v>7</v>
      </c>
      <c r="H15" s="27">
        <f>_xll.InstantaneousRate(G15,$D$4:$D$21,$A$4:$A$21)</f>
        <v>2.9761119843380215E-2</v>
      </c>
      <c r="I15" s="27">
        <f>_xll.InstantaneousRate(G15,$D$4:$D$21,$B$4:$B$21)</f>
        <v>2.7315091704005576E-2</v>
      </c>
      <c r="J15" s="27">
        <f t="shared" si="0"/>
        <v>2.4460281393746397E-3</v>
      </c>
      <c r="K15" s="27">
        <f>_xll.LIBORForwardRate(G15,G15+0.25,$D$4:$D$21,$A$4:$A$21)</f>
        <v>3.0045936453339195E-2</v>
      </c>
      <c r="L15" s="27">
        <f>_xll.discFactor($F$1,G15,$D$4:$D$21,$B$4:$B$21)</f>
        <v>0.91367018031964353</v>
      </c>
    </row>
    <row r="16" spans="1:19" x14ac:dyDescent="0.2">
      <c r="A16" s="27">
        <v>1.9407352049738435E-2</v>
      </c>
      <c r="B16" s="27">
        <v>1.4762384660865062E-2</v>
      </c>
      <c r="D16" s="17">
        <f>_xll.EchoDouble('3M LIBOR  OIS'!M22)</f>
        <v>20</v>
      </c>
      <c r="G16" s="24">
        <v>7.5</v>
      </c>
      <c r="H16" s="27">
        <f>_xll.InstantaneousRate(G16,$D$4:$D$21,$A$4:$A$21)</f>
        <v>3.0444252691933103E-2</v>
      </c>
      <c r="I16" s="27">
        <f>_xll.InstantaneousRate(G16,$D$4:$D$21,$B$4:$B$21)</f>
        <v>2.822250863196607E-2</v>
      </c>
      <c r="J16" s="27">
        <f t="shared" si="0"/>
        <v>2.2217440599670325E-3</v>
      </c>
      <c r="K16" s="27">
        <f>_xll.LIBORForwardRate(G16,G16+0.25,$D$4:$D$21,$A$4:$A$21)</f>
        <v>3.0728874141625617E-2</v>
      </c>
      <c r="L16" s="27">
        <f>_xll.discFactor($F$1,G16,$D$4:$D$21,$B$4:$B$21)</f>
        <v>0.90107203793775936</v>
      </c>
    </row>
    <row r="17" spans="1:12" x14ac:dyDescent="0.2">
      <c r="A17" s="27">
        <v>1.0318435382925539E-2</v>
      </c>
      <c r="B17" s="27">
        <v>6.9388799169318083E-4</v>
      </c>
      <c r="D17" s="17">
        <f>_xll.EchoDouble('3M LIBOR  OIS'!M23)</f>
        <v>25</v>
      </c>
      <c r="G17" s="24">
        <v>8</v>
      </c>
      <c r="H17" s="27">
        <f>_xll.InstantaneousRate(G17,$D$4:$D$21,$A$4:$A$21)</f>
        <v>3.110546981194726E-2</v>
      </c>
      <c r="I17" s="27">
        <f>_xll.InstantaneousRate(G17,$D$4:$D$21,$B$4:$B$21)</f>
        <v>2.9121158829508696E-2</v>
      </c>
      <c r="J17" s="27">
        <f t="shared" si="0"/>
        <v>1.9843109824385641E-3</v>
      </c>
      <c r="K17" s="27">
        <f>_xll.LIBORForwardRate(G17,G17+0.25,$D$4:$D$21,$A$4:$A$21)</f>
        <v>3.1389432476108148E-2</v>
      </c>
      <c r="L17" s="27">
        <f>_xll.discFactor($F$1,G17,$D$4:$D$21,$B$4:$B$21)</f>
        <v>0.8882458881916272</v>
      </c>
    </row>
    <row r="18" spans="1:12" x14ac:dyDescent="0.2">
      <c r="A18" s="27">
        <v>9.9999988169271834E-3</v>
      </c>
      <c r="B18" s="27">
        <v>1.1818610526697714E-9</v>
      </c>
      <c r="D18" s="17">
        <f>_xll.EchoDouble('3M LIBOR  OIS'!M24)</f>
        <v>30</v>
      </c>
      <c r="G18" s="24">
        <v>8.5</v>
      </c>
      <c r="H18" s="27">
        <f>_xll.InstantaneousRate(G18,$D$4:$D$21,$A$4:$A$21)</f>
        <v>3.1743154634858363E-2</v>
      </c>
      <c r="I18" s="27">
        <f>_xll.InstantaneousRate(G18,$D$4:$D$21,$B$4:$B$21)</f>
        <v>2.9995691721016154E-2</v>
      </c>
      <c r="J18" s="27">
        <f t="shared" si="0"/>
        <v>1.7474629138422085E-3</v>
      </c>
      <c r="K18" s="27">
        <f>_xll.LIBORForwardRate(G18,G18+0.25,$D$4:$D$21,$A$4:$A$21)</f>
        <v>3.2025970904934198E-2</v>
      </c>
      <c r="L18" s="27">
        <f>_xll.discFactor($F$1,G18,$D$4:$D$21,$B$4:$B$21)</f>
        <v>0.87521368541866573</v>
      </c>
    </row>
    <row r="19" spans="1:12" x14ac:dyDescent="0.2">
      <c r="A19" s="27">
        <v>0.01</v>
      </c>
      <c r="B19" s="27">
        <v>0</v>
      </c>
      <c r="D19" s="17">
        <f>_xll.EchoDouble('3M LIBOR  OIS'!M25)</f>
        <v>40</v>
      </c>
      <c r="G19" s="24">
        <v>9</v>
      </c>
      <c r="H19" s="27">
        <f>_xll.InstantaneousRate(G19,$D$4:$D$21,$A$4:$A$21)</f>
        <v>3.2355690592102054E-2</v>
      </c>
      <c r="I19" s="27">
        <f>_xll.InstantaneousRate(G19,$D$4:$D$21,$B$4:$B$21)</f>
        <v>3.0830756730871114E-2</v>
      </c>
      <c r="J19" s="27">
        <f t="shared" si="0"/>
        <v>1.5249338612309399E-3</v>
      </c>
      <c r="K19" s="27">
        <f>_xll.LIBORForwardRate(G19,G19+0.25,$D$4:$D$21,$A$4:$A$21)</f>
        <v>3.2636848257837414E-2</v>
      </c>
      <c r="L19" s="27">
        <f>_xll.discFactor($F$1,G19,$D$4:$D$21,$B$4:$B$21)</f>
        <v>0.86200363883240883</v>
      </c>
    </row>
    <row r="20" spans="1:12" x14ac:dyDescent="0.2">
      <c r="A20" s="27">
        <v>0.01</v>
      </c>
      <c r="B20" s="27">
        <v>0</v>
      </c>
      <c r="D20" s="17">
        <f>_xll.EchoDouble('3M LIBOR  OIS'!M26)</f>
        <v>50</v>
      </c>
      <c r="G20" s="24">
        <v>9.5</v>
      </c>
      <c r="H20" s="27">
        <f>_xll.InstantaneousRate(G20,$D$4:$D$21,$A$4:$A$21)</f>
        <v>3.2941461115113993E-2</v>
      </c>
      <c r="I20" s="27">
        <f>_xll.InstantaneousRate(G20,$D$4:$D$21,$B$4:$B$21)</f>
        <v>3.1611003283456264E-2</v>
      </c>
      <c r="J20" s="27">
        <f t="shared" si="0"/>
        <v>1.330457831657729E-3</v>
      </c>
      <c r="K20" s="27">
        <f>_xll.LIBORForwardRate(G20,G20+0.25,$D$4:$D$21,$A$4:$A$21)</f>
        <v>3.3220422846895303E-2</v>
      </c>
      <c r="L20" s="27">
        <f>_xll.discFactor($F$1,G20,$D$4:$D$21,$B$4:$B$21)</f>
        <v>0.84864965758754862</v>
      </c>
    </row>
    <row r="21" spans="1:12" x14ac:dyDescent="0.2">
      <c r="A21" s="27">
        <v>0.01</v>
      </c>
      <c r="B21" s="27">
        <v>0</v>
      </c>
      <c r="D21" s="17">
        <f>_xll.EchoDouble('3M LIBOR  OIS'!M27)</f>
        <v>60</v>
      </c>
      <c r="G21" s="24">
        <v>10</v>
      </c>
      <c r="H21" s="27">
        <f>_xll.InstantaneousRate(G21,$D$4:$D$21,$A$4:$A$21)</f>
        <v>3.3498849635329835E-2</v>
      </c>
      <c r="I21" s="27">
        <f>_xll.InstantaneousRate(G21,$D$4:$D$21,$B$4:$B$21)</f>
        <v>3.2321080803154281E-2</v>
      </c>
      <c r="J21" s="27">
        <f t="shared" si="0"/>
        <v>1.1777688321755533E-3</v>
      </c>
      <c r="K21" s="27">
        <f>_xll.LIBORForwardRate(G21,G21+0.25,$D$4:$D$21,$A$4:$A$21)</f>
        <v>3.3774743619810366E-2</v>
      </c>
      <c r="L21" s="27">
        <f>_xll.discFactor($F$1,G21,$D$4:$D$21,$B$4:$B$21)</f>
        <v>0.83519078484246601</v>
      </c>
    </row>
    <row r="22" spans="1:12" x14ac:dyDescent="0.2">
      <c r="A22" s="28"/>
      <c r="B22" s="28"/>
      <c r="G22" s="24">
        <v>10.5</v>
      </c>
      <c r="H22" s="27">
        <f>_xll.InstantaneousRate(G22,$D$4:$D$21,$A$4:$A$21)</f>
        <v>3.4016435832089076E-2</v>
      </c>
      <c r="I22" s="27">
        <f>_xll.InstantaneousRate(G22,$D$4:$D$21,$B$4:$B$21)</f>
        <v>3.2938512017528301E-2</v>
      </c>
      <c r="J22" s="27">
        <f t="shared" si="0"/>
        <v>1.0779238145607745E-3</v>
      </c>
      <c r="K22" s="27">
        <f>_xll.LIBORForwardRate(G22,G22+0.25,$D$4:$D$21,$A$4:$A$21)</f>
        <v>3.4279010466280013E-2</v>
      </c>
      <c r="L22" s="27">
        <f>_xll.discFactor($F$1,G22,$D$4:$D$21,$B$4:$B$21)</f>
        <v>0.82167136137266794</v>
      </c>
    </row>
    <row r="23" spans="1:12" x14ac:dyDescent="0.2">
      <c r="A23" s="28"/>
      <c r="B23" s="28"/>
      <c r="G23" s="24">
        <v>11</v>
      </c>
      <c r="H23" s="27">
        <f>_xll.InstantaneousRate(G23,$D$4:$D$21,$A$4:$A$21)</f>
        <v>3.4443584376346717E-2</v>
      </c>
      <c r="I23" s="27">
        <f>_xll.InstantaneousRate(G23,$D$4:$D$21,$B$4:$B$21)</f>
        <v>3.3412312866863345E-2</v>
      </c>
      <c r="J23" s="27">
        <f t="shared" si="0"/>
        <v>1.0312715094833724E-3</v>
      </c>
      <c r="K23" s="27">
        <f>_xll.LIBORForwardRate(G23,G23+0.25,$D$4:$D$21,$A$4:$A$21)</f>
        <v>3.4676876510590482E-2</v>
      </c>
      <c r="L23" s="27">
        <f>_xll.discFactor($F$1,G23,$D$4:$D$21,$B$4:$B$21)</f>
        <v>0.80814832318283958</v>
      </c>
    </row>
    <row r="24" spans="1:12" x14ac:dyDescent="0.2">
      <c r="G24" s="24">
        <v>11.5</v>
      </c>
      <c r="H24" s="27">
        <f>_xll.InstantaneousRate(G24,$D$4:$D$21,$A$4:$A$21)</f>
        <v>3.4719856186961544E-2</v>
      </c>
      <c r="I24" s="27">
        <f>_xll.InstantaneousRate(G24,$D$4:$D$21,$B$4:$B$21)</f>
        <v>3.368437259462484E-2</v>
      </c>
      <c r="J24" s="27">
        <f t="shared" si="0"/>
        <v>1.0354835923367042E-3</v>
      </c>
      <c r="K24" s="27">
        <f>_xll.LIBORForwardRate(G24,G24+0.25,$D$4:$D$21,$A$4:$A$21)</f>
        <v>3.4907343278049119E-2</v>
      </c>
      <c r="L24" s="27">
        <f>_xll.discFactor($F$1,G24,$D$4:$D$21,$B$4:$B$21)</f>
        <v>0.79469772488663359</v>
      </c>
    </row>
    <row r="25" spans="1:12" x14ac:dyDescent="0.2">
      <c r="G25" s="24">
        <v>12</v>
      </c>
      <c r="H25" s="27">
        <f>_xll.InstantaneousRate(G25,$D$4:$D$21,$A$4:$A$21)</f>
        <v>3.4784812182792405E-2</v>
      </c>
      <c r="I25" s="27">
        <f>_xll.InstantaneousRate(G25,$D$4:$D$21,$B$4:$B$21)</f>
        <v>3.3696580444278257E-2</v>
      </c>
      <c r="J25" s="27">
        <f t="shared" si="0"/>
        <v>1.0882317385141477E-3</v>
      </c>
      <c r="K25" s="27">
        <f>_xll.LIBORForwardRate(G25,G25+0.25,$D$4:$D$21,$A$4:$A$21)</f>
        <v>3.491004613711457E-2</v>
      </c>
      <c r="L25" s="27">
        <f>_xll.discFactor($F$1,G25,$D$4:$D$21,$B$4:$B$21)</f>
        <v>0.78141356787921412</v>
      </c>
    </row>
    <row r="26" spans="1:12" x14ac:dyDescent="0.2">
      <c r="G26" s="24">
        <v>12.5</v>
      </c>
      <c r="H26" s="27">
        <f>_xll.InstantaneousRate(G26,$D$4:$D$21,$A$4:$A$21)</f>
        <v>3.459803289482459E-2</v>
      </c>
      <c r="I26" s="27">
        <f>_xll.InstantaneousRate(G26,$D$4:$D$21,$B$4:$B$21)</f>
        <v>3.3412952359267771E-2</v>
      </c>
      <c r="J26" s="27">
        <f t="shared" si="0"/>
        <v>1.1850805355568192E-3</v>
      </c>
      <c r="K26" s="27">
        <f>_xll.LIBORForwardRate(G26,G26+0.25,$D$4:$D$21,$A$4:$A$21)</f>
        <v>3.4663145864661793E-2</v>
      </c>
      <c r="L26" s="27">
        <f>_xll.discFactor($F$1,G26,$D$4:$D$21,$B$4:$B$21)</f>
        <v>0.76840387173158575</v>
      </c>
    </row>
    <row r="27" spans="1:12" x14ac:dyDescent="0.2">
      <c r="G27" s="24">
        <v>13</v>
      </c>
      <c r="H27" s="27">
        <f>_xll.InstantaneousRate(G27,$D$4:$D$21,$A$4:$A$21)</f>
        <v>3.4199177302549358E-2</v>
      </c>
      <c r="I27" s="27">
        <f>_xll.InstantaneousRate(G27,$D$4:$D$21,$B$4:$B$21)</f>
        <v>3.2886011082952429E-2</v>
      </c>
      <c r="J27" s="27">
        <f t="shared" si="0"/>
        <v>1.3131662195969285E-3</v>
      </c>
      <c r="K27" s="27">
        <f>_xll.LIBORForwardRate(G27,G27+0.25,$D$4:$D$21,$A$4:$A$21)</f>
        <v>3.4217412595734409E-2</v>
      </c>
      <c r="L27" s="27">
        <f>_xll.discFactor($F$1,G27,$D$4:$D$21,$B$4:$B$21)</f>
        <v>0.75576625802118103</v>
      </c>
    </row>
    <row r="28" spans="1:12" x14ac:dyDescent="0.2">
      <c r="G28" s="24">
        <v>13.5</v>
      </c>
      <c r="H28" s="27">
        <f>_xll.InstantaneousRate(G28,$D$4:$D$21,$A$4:$A$21)</f>
        <v>3.3647923997584511E-2</v>
      </c>
      <c r="I28" s="27">
        <f>_xll.InstantaneousRate(G28,$D$4:$D$21,$B$4:$B$21)</f>
        <v>3.2190406058670004E-2</v>
      </c>
      <c r="J28" s="27">
        <f t="shared" si="0"/>
        <v>1.4575179389145071E-3</v>
      </c>
      <c r="K28" s="27">
        <f>_xll.LIBORForwardRate(G28,G28+0.25,$D$4:$D$21,$A$4:$A$21)</f>
        <v>3.3633092169305101E-2</v>
      </c>
      <c r="L28" s="27">
        <f>_xll.discFactor($F$1,G28,$D$4:$D$21,$B$4:$B$21)</f>
        <v>0.74356602812284922</v>
      </c>
    </row>
    <row r="29" spans="1:12" x14ac:dyDescent="0.2">
      <c r="G29" s="24">
        <v>14</v>
      </c>
      <c r="H29" s="27">
        <f>_xll.InstantaneousRate(G29,$D$4:$D$21,$A$4:$A$21)</f>
        <v>3.3003951571547806E-2</v>
      </c>
      <c r="I29" s="27">
        <f>_xll.InstantaneousRate(G29,$D$4:$D$21,$B$4:$B$21)</f>
        <v>3.1400786729758275E-2</v>
      </c>
      <c r="J29" s="27">
        <f t="shared" si="0"/>
        <v>1.6031648417895311E-3</v>
      </c>
      <c r="K29" s="27">
        <f>_xll.LIBORForwardRate(G29,G29+0.25,$D$4:$D$21,$A$4:$A$21)</f>
        <v>3.2970414870249876E-2</v>
      </c>
      <c r="L29" s="27">
        <f>_xll.discFactor($F$1,G29,$D$4:$D$21,$B$4:$B$21)</f>
        <v>0.73183670527748468</v>
      </c>
    </row>
    <row r="30" spans="1:12" x14ac:dyDescent="0.2">
      <c r="G30" s="24">
        <v>14.5</v>
      </c>
      <c r="H30" s="27">
        <f>_xll.InstantaneousRate(G30,$D$4:$D$21,$A$4:$A$21)</f>
        <v>3.232693861605699E-2</v>
      </c>
      <c r="I30" s="27">
        <f>_xll.InstantaneousRate(G30,$D$4:$D$21,$B$4:$B$21)</f>
        <v>3.059180253955501E-2</v>
      </c>
      <c r="J30" s="27">
        <f t="shared" si="0"/>
        <v>1.7351360765019801E-3</v>
      </c>
      <c r="K30" s="27">
        <f>_xll.LIBORForwardRate(G30,G30+0.25,$D$4:$D$21,$A$4:$A$21)</f>
        <v>3.228957923924991E-2</v>
      </c>
      <c r="L30" s="27">
        <f>_xll.discFactor($F$1,G30,$D$4:$D$21,$B$4:$B$21)</f>
        <v>0.72058257001329828</v>
      </c>
    </row>
    <row r="31" spans="1:12" x14ac:dyDescent="0.2">
      <c r="G31" s="24">
        <v>15</v>
      </c>
      <c r="H31" s="27">
        <f>_xll.InstantaneousRate(G31,$D$4:$D$21,$A$4:$A$21)</f>
        <v>3.1676563722729825E-2</v>
      </c>
      <c r="I31" s="27">
        <f>_xll.InstantaneousRate(G31,$D$4:$D$21,$B$4:$B$21)</f>
        <v>2.9838102931397961E-2</v>
      </c>
      <c r="J31" s="27">
        <f t="shared" si="0"/>
        <v>1.8384607913318647E-3</v>
      </c>
      <c r="K31" s="27">
        <f>_xll.LIBORForwardRate(G31,G31+0.25,$D$4:$D$21,$A$4:$A$21)</f>
        <v>3.1650428396851282E-2</v>
      </c>
      <c r="L31" s="27">
        <f>_xll.discFactor($F$1,G31,$D$4:$D$21,$B$4:$B$21)</f>
        <v>0.7097809435484268</v>
      </c>
    </row>
    <row r="32" spans="1:12" x14ac:dyDescent="0.2">
      <c r="G32" s="24">
        <v>15.5</v>
      </c>
      <c r="H32" s="27">
        <f>_xll.InstantaneousRate(G32,$D$4:$D$21,$A$4:$A$21)</f>
        <v>3.1102457821683731E-2</v>
      </c>
      <c r="I32" s="27">
        <f>_xll.InstantaneousRate(G32,$D$4:$D$21,$B$4:$B$21)</f>
        <v>2.920120122957558E-2</v>
      </c>
      <c r="J32" s="27">
        <f t="shared" si="0"/>
        <v>1.9012565921081512E-3</v>
      </c>
      <c r="K32" s="27">
        <f>_xll.LIBORForwardRate(G32,G32+0.25,$D$4:$D$21,$A$4:$A$21)</f>
        <v>3.1093466176709939E-2</v>
      </c>
      <c r="L32" s="27">
        <f>_xll.discFactor($F$1,G32,$D$4:$D$21,$B$4:$B$21)</f>
        <v>0.69938536076471203</v>
      </c>
    </row>
    <row r="33" spans="7:12" x14ac:dyDescent="0.2">
      <c r="G33" s="24">
        <v>16</v>
      </c>
      <c r="H33" s="27">
        <f>_xll.InstantaneousRate(G33,$D$4:$D$21,$A$4:$A$21)</f>
        <v>3.0614061197034737E-2</v>
      </c>
      <c r="I33" s="27">
        <f>_xll.InstantaneousRate(G33,$D$4:$D$21,$B$4:$B$21)</f>
        <v>2.8690066282178978E-2</v>
      </c>
      <c r="J33" s="27">
        <f t="shared" si="0"/>
        <v>1.9239949148557589E-3</v>
      </c>
      <c r="K33" s="27">
        <f>_xll.LIBORForwardRate(G33,G33+0.25,$D$4:$D$21,$A$4:$A$21)</f>
        <v>3.0622792411389099E-2</v>
      </c>
      <c r="L33" s="27">
        <f>_xll.discFactor($F$1,G33,$D$4:$D$21,$B$4:$B$21)</f>
        <v>0.6893397323762035</v>
      </c>
    </row>
    <row r="34" spans="7:12" x14ac:dyDescent="0.2">
      <c r="G34" s="24">
        <v>16.5</v>
      </c>
      <c r="H34" s="27">
        <f>_xll.InstantaneousRate(G34,$D$4:$D$21,$A$4:$A$21)</f>
        <v>3.0210766471398486E-2</v>
      </c>
      <c r="I34" s="27">
        <f>_xll.InstantaneousRate(G34,$D$4:$D$21,$B$4:$B$21)</f>
        <v>2.8300530818249892E-2</v>
      </c>
      <c r="J34" s="27">
        <f t="shared" si="0"/>
        <v>1.9102356531485939E-3</v>
      </c>
      <c r="K34" s="27">
        <f>_xll.LIBORForwardRate(G34,G34+0.25,$D$4:$D$21,$A$4:$A$21)</f>
        <v>3.0237764923059629E-2</v>
      </c>
      <c r="L34" s="27">
        <f>_xll.discFactor($F$1,G34,$D$4:$D$21,$B$4:$B$21)</f>
        <v>0.67959128120618273</v>
      </c>
    </row>
    <row r="35" spans="7:12" x14ac:dyDescent="0.2">
      <c r="G35" s="24">
        <v>17</v>
      </c>
      <c r="H35" s="27">
        <f>_xll.InstantaneousRate(G35,$D$4:$D$21,$A$4:$A$21)</f>
        <v>2.9891966267390671E-2</v>
      </c>
      <c r="I35" s="27">
        <f>_xll.InstantaneousRate(G35,$D$4:$D$21,$B$4:$B$21)</f>
        <v>2.8028427566830116E-2</v>
      </c>
      <c r="J35" s="27">
        <f t="shared" si="0"/>
        <v>1.8635387005605554E-3</v>
      </c>
      <c r="K35" s="27">
        <f>_xll.LIBORForwardRate(G35,G35+0.25,$D$4:$D$21,$A$4:$A$21)</f>
        <v>2.9937747253555358E-2</v>
      </c>
      <c r="L35" s="27">
        <f>_xll.discFactor($F$1,G35,$D$4:$D$21,$B$4:$B$21)</f>
        <v>0.67009140403145451</v>
      </c>
    </row>
    <row r="36" spans="7:12" x14ac:dyDescent="0.2">
      <c r="G36" s="24">
        <v>17.5</v>
      </c>
      <c r="H36" s="27">
        <f>_xll.InstantaneousRate(G36,$D$4:$D$21,$A$4:$A$21)</f>
        <v>2.9657053207626936E-2</v>
      </c>
      <c r="I36" s="27">
        <f>_xll.InstantaneousRate(G36,$D$4:$D$21,$B$4:$B$21)</f>
        <v>2.7869589256961372E-2</v>
      </c>
      <c r="J36" s="27">
        <f t="shared" si="0"/>
        <v>1.7874639506655632E-3</v>
      </c>
      <c r="K36" s="27">
        <f>_xll.LIBORForwardRate(G36,G36+0.25,$D$4:$D$21,$A$4:$A$21)</f>
        <v>2.9722108532230784E-2</v>
      </c>
      <c r="L36" s="27">
        <f>_xll.discFactor($F$1,G36,$D$4:$D$21,$B$4:$B$21)</f>
        <v>0.66079539632113482</v>
      </c>
    </row>
    <row r="37" spans="7:12" x14ac:dyDescent="0.2">
      <c r="G37" s="24">
        <v>18</v>
      </c>
      <c r="H37" s="27">
        <f>_xll.InstantaneousRate(G37,$D$4:$D$21,$A$4:$A$21)</f>
        <v>2.9505419914722972E-2</v>
      </c>
      <c r="I37" s="27">
        <f>_xll.InstantaneousRate(G37,$D$4:$D$21,$B$4:$B$21)</f>
        <v>2.7819848617685463E-2</v>
      </c>
      <c r="J37" s="27">
        <f t="shared" si="0"/>
        <v>1.6855712970375095E-3</v>
      </c>
      <c r="K37" s="27">
        <f>_xll.LIBORForwardRate(G37,G37+0.25,$D$4:$D$21,$A$4:$A$21)</f>
        <v>2.9590223345356215E-2</v>
      </c>
      <c r="L37" s="27">
        <f>_xll.discFactor($F$1,G37,$D$4:$D$21,$B$4:$B$21)</f>
        <v>0.65166221648554246</v>
      </c>
    </row>
    <row r="38" spans="7:12" x14ac:dyDescent="0.2">
      <c r="G38" s="24">
        <v>18.5</v>
      </c>
      <c r="H38" s="27">
        <f>_xll.InstantaneousRate(G38,$D$4:$D$21,$A$4:$A$21)</f>
        <v>2.9436459011294429E-2</v>
      </c>
      <c r="I38" s="27">
        <f>_xll.InstantaneousRate(G38,$D$4:$D$21,$B$4:$B$21)</f>
        <v>2.7875038378044132E-2</v>
      </c>
      <c r="J38" s="27">
        <f t="shared" si="0"/>
        <v>1.5614206332502968E-3</v>
      </c>
      <c r="K38" s="27">
        <f>_xll.LIBORForwardRate(G38,G38+0.25,$D$4:$D$21,$A$4:$A$21)</f>
        <v>2.9541471607064551E-2</v>
      </c>
      <c r="L38" s="27">
        <f>_xll.discFactor($F$1,G38,$D$4:$D$21,$B$4:$B$21)</f>
        <v>0.642654283779314</v>
      </c>
    </row>
    <row r="39" spans="7:12" x14ac:dyDescent="0.2">
      <c r="G39" s="24">
        <v>19</v>
      </c>
      <c r="H39" s="27">
        <f>_xll.InstantaneousRate(G39,$D$4:$D$21,$A$4:$A$21)</f>
        <v>2.944956311995699E-2</v>
      </c>
      <c r="I39" s="27">
        <f>_xll.InstantaneousRate(G39,$D$4:$D$21,$B$4:$B$21)</f>
        <v>2.8030991267079159E-2</v>
      </c>
      <c r="J39" s="27">
        <f t="shared" si="0"/>
        <v>1.4185718528778313E-3</v>
      </c>
      <c r="K39" s="27">
        <f>_xll.LIBORForwardRate(G39,G39+0.25,$D$4:$D$21,$A$4:$A$21)</f>
        <v>2.9575238431786666E-2</v>
      </c>
      <c r="L39" s="27">
        <f>_xll.discFactor($F$1,G39,$D$4:$D$21,$B$4:$B$21)</f>
        <v>0.63373730463636224</v>
      </c>
    </row>
    <row r="40" spans="7:12" x14ac:dyDescent="0.2">
      <c r="G40" s="24">
        <v>19.5</v>
      </c>
      <c r="H40" s="27">
        <f>_xll.InstantaneousRate(G40,$D$4:$D$21,$A$4:$A$21)</f>
        <v>2.9544124863326308E-2</v>
      </c>
      <c r="I40" s="27">
        <f>_xll.InstantaneousRate(G40,$D$4:$D$21,$B$4:$B$21)</f>
        <v>2.8283540013832285E-2</v>
      </c>
      <c r="J40" s="27">
        <f t="shared" si="0"/>
        <v>1.2605848494940224E-3</v>
      </c>
      <c r="K40" s="27">
        <f>_xll.LIBORForwardRate(G40,G40+0.25,$D$4:$D$21,$A$4:$A$21)</f>
        <v>2.9690914008180691E-2</v>
      </c>
      <c r="L40" s="27">
        <f>_xll.discFactor($F$1,G40,$D$4:$D$21,$B$4:$B$21)</f>
        <v>0.6248801227637899</v>
      </c>
    </row>
    <row r="41" spans="7:12" x14ac:dyDescent="0.2">
      <c r="G41" s="24">
        <v>20</v>
      </c>
      <c r="H41" s="27">
        <f>_xll.InstantaneousRate(G41,$D$4:$D$21,$A$4:$A$21)</f>
        <v>2.9719536864018053E-2</v>
      </c>
      <c r="I41" s="27">
        <f>_xll.InstantaneousRate(G41,$D$4:$D$21,$B$4:$B$21)</f>
        <v>2.8628517347345284E-2</v>
      </c>
      <c r="J41" s="27">
        <f t="shared" si="0"/>
        <v>1.0910195166727692E-3</v>
      </c>
      <c r="K41" s="27">
        <f>_xll.LIBORForwardRate(G41,G41+0.25,$D$4:$D$21,$A$4:$A$21)</f>
        <v>2.9887762593016731E-2</v>
      </c>
      <c r="L41" s="27">
        <f>_xll.discFactor($F$1,G41,$D$4:$D$21,$B$4:$B$21)</f>
        <v>0.61605458880339037</v>
      </c>
    </row>
    <row r="42" spans="7:12" x14ac:dyDescent="0.2">
      <c r="G42" s="24">
        <v>20.5</v>
      </c>
      <c r="H42" s="27">
        <f>_xll.InstantaneousRate(G42,$D$4:$D$21,$A$4:$A$21)</f>
        <v>2.9971034599323834E-2</v>
      </c>
      <c r="I42" s="27">
        <f>_xll.InstantaneousRate(G42,$D$4:$D$21,$B$4:$B$21)</f>
        <v>2.9057006062791275E-2</v>
      </c>
      <c r="J42" s="27">
        <f t="shared" si="0"/>
        <v>9.1402853653255872E-4</v>
      </c>
      <c r="K42" s="27">
        <f>_xll.LIBORForwardRate(G42,G42+0.25,$D$4:$D$21,$A$4:$A$21)</f>
        <v>3.0157068921853991E-2</v>
      </c>
      <c r="L42" s="27">
        <f>_xll.discFactor($F$1,G42,$D$4:$D$21,$B$4:$B$21)</f>
        <v>0.60723580633754515</v>
      </c>
    </row>
    <row r="43" spans="7:12" x14ac:dyDescent="0.2">
      <c r="G43" s="24">
        <v>21</v>
      </c>
      <c r="H43" s="27">
        <f>_xll.InstantaneousRate(G43,$D$4:$D$21,$A$4:$A$21)</f>
        <v>3.0277224965238884E-2</v>
      </c>
      <c r="I43" s="27">
        <f>_xll.InstantaneousRate(G43,$D$4:$D$21,$B$4:$B$21)</f>
        <v>2.954108921986871E-2</v>
      </c>
      <c r="J43" s="27">
        <f t="shared" si="0"/>
        <v>7.3613574537017418E-4</v>
      </c>
      <c r="K43" s="27">
        <f>_xll.LIBORForwardRate(G43,G43+0.25,$D$4:$D$21,$A$4:$A$21)</f>
        <v>3.0475066047115362E-2</v>
      </c>
      <c r="L43" s="27">
        <f>_xll.discFactor($F$1,G43,$D$4:$D$21,$B$4:$B$21)</f>
        <v>0.59840591182096337</v>
      </c>
    </row>
    <row r="44" spans="7:12" x14ac:dyDescent="0.2">
      <c r="G44" s="24">
        <v>21.5</v>
      </c>
      <c r="H44" s="27">
        <f>_xll.InstantaneousRate(G44,$D$4:$D$21,$A$4:$A$21)</f>
        <v>3.0612557712434412E-2</v>
      </c>
      <c r="I44" s="27">
        <f>_xll.InstantaneousRate(G44,$D$4:$D$21,$B$4:$B$21)</f>
        <v>3.0048099944407419E-2</v>
      </c>
      <c r="J44" s="27">
        <f t="shared" si="0"/>
        <v>5.6445776802699354E-4</v>
      </c>
      <c r="K44" s="27">
        <f>_xll.LIBORForwardRate(G44,G44+0.25,$D$4:$D$21,$A$4:$A$21)</f>
        <v>3.0816018320705574E-2</v>
      </c>
      <c r="L44" s="27">
        <f>_xll.discFactor($F$1,G44,$D$4:$D$21,$B$4:$B$21)</f>
        <v>0.58955751647619936</v>
      </c>
    </row>
    <row r="45" spans="7:12" x14ac:dyDescent="0.2">
      <c r="G45" s="24">
        <v>22</v>
      </c>
      <c r="H45" s="27">
        <f>_xll.InstantaneousRate(G45,$D$4:$D$21,$A$4:$A$21)</f>
        <v>3.0951482591581606E-2</v>
      </c>
      <c r="I45" s="27">
        <f>_xll.InstantaneousRate(G45,$D$4:$D$21,$B$4:$B$21)</f>
        <v>3.0545371362237218E-2</v>
      </c>
      <c r="J45" s="27">
        <f t="shared" si="0"/>
        <v>4.061112293443879E-4</v>
      </c>
      <c r="K45" s="27">
        <f>_xll.LIBORForwardRate(G45,G45+0.25,$D$4:$D$21,$A$4:$A$21)</f>
        <v>3.1154182232962846E-2</v>
      </c>
      <c r="L45" s="27">
        <f>_xll.discFactor($F$1,G45,$D$4:$D$21,$B$4:$B$21)</f>
        <v>0.58069335502217989</v>
      </c>
    </row>
    <row r="46" spans="7:12" x14ac:dyDescent="0.2">
      <c r="G46" s="24">
        <v>22.5</v>
      </c>
      <c r="H46" s="27">
        <f>_xll.InstantaneousRate(G46,$D$4:$D$21,$A$4:$A$21)</f>
        <v>3.126844935335165E-2</v>
      </c>
      <c r="I46" s="27">
        <f>_xll.InstantaneousRate(G46,$D$4:$D$21,$B$4:$B$21)</f>
        <v>3.1000236599187918E-2</v>
      </c>
      <c r="J46" s="27">
        <f t="shared" si="0"/>
        <v>2.6821275416373178E-4</v>
      </c>
      <c r="K46" s="27">
        <f>_xll.LIBORForwardRate(G46,G46+0.25,$D$4:$D$21,$A$4:$A$21)</f>
        <v>3.1463805768690456E-2</v>
      </c>
      <c r="L46" s="27">
        <f>_xll.discFactor($F$1,G46,$D$4:$D$21,$B$4:$B$21)</f>
        <v>0.57182555997530748</v>
      </c>
    </row>
    <row r="47" spans="7:12" x14ac:dyDescent="0.2">
      <c r="G47" s="24">
        <v>23</v>
      </c>
      <c r="H47" s="27">
        <f>_xll.InstantaneousRate(G47,$D$4:$D$21,$A$4:$A$21)</f>
        <v>3.1537907748415736E-2</v>
      </c>
      <c r="I47" s="27">
        <f>_xll.InstantaneousRate(G47,$D$4:$D$21,$B$4:$B$21)</f>
        <v>3.1380028781089343E-2</v>
      </c>
      <c r="J47" s="27">
        <f t="shared" si="0"/>
        <v>1.5787896732639278E-4</v>
      </c>
      <c r="K47" s="27">
        <f>_xll.LIBORForwardRate(G47,G47+0.25,$D$4:$D$21,$A$4:$A$21)</f>
        <v>3.1719129407876245E-2</v>
      </c>
      <c r="L47" s="27">
        <f>_xll.discFactor($F$1,G47,$D$4:$D$21,$B$4:$B$21)</f>
        <v>0.56297493394110665</v>
      </c>
    </row>
    <row r="48" spans="7:12" x14ac:dyDescent="0.2">
      <c r="G48" s="24">
        <v>23.5</v>
      </c>
      <c r="H48" s="27">
        <f>_xll.InstantaneousRate(G48,$D$4:$D$21,$A$4:$A$21)</f>
        <v>3.1734307527445042E-2</v>
      </c>
      <c r="I48" s="27">
        <f>_xll.InstantaneousRate(G48,$D$4:$D$21,$B$4:$B$21)</f>
        <v>3.1652081033771297E-2</v>
      </c>
      <c r="J48" s="27">
        <f t="shared" si="0"/>
        <v>8.222649367374546E-5</v>
      </c>
      <c r="K48" s="27">
        <f>_xll.LIBORForwardRate(G48,G48+0.25,$D$4:$D$21,$A$4:$A$21)</f>
        <v>3.1894388771956272E-2</v>
      </c>
      <c r="L48" s="27">
        <f>_xll.discFactor($F$1,G48,$D$4:$D$21,$B$4:$B$21)</f>
        <v>0.55417022653517489</v>
      </c>
    </row>
    <row r="49" spans="7:12" x14ac:dyDescent="0.2">
      <c r="G49" s="24">
        <v>24</v>
      </c>
      <c r="H49" s="27">
        <f>_xll.InstantaneousRate(G49,$D$4:$D$21,$A$4:$A$21)</f>
        <v>3.1832098441110776E-2</v>
      </c>
      <c r="I49" s="27">
        <f>_xll.InstantaneousRate(G49,$D$4:$D$21,$B$4:$B$21)</f>
        <v>3.1783726483063615E-2</v>
      </c>
      <c r="J49" s="27">
        <f t="shared" si="0"/>
        <v>4.8371958047160879E-5</v>
      </c>
      <c r="K49" s="27">
        <f>_xll.LIBORForwardRate(G49,G49+0.25,$D$4:$D$21,$A$4:$A$21)</f>
        <v>3.1963818916132425E-2</v>
      </c>
      <c r="L49" s="27">
        <f>_xll.discFactor($F$1,G49,$D$4:$D$21,$B$4:$B$21)</f>
        <v>0.54544742706267957</v>
      </c>
    </row>
    <row r="50" spans="7:12" x14ac:dyDescent="0.2">
      <c r="G50" s="24">
        <v>24.5</v>
      </c>
      <c r="H50" s="27">
        <f>_xll.InstantaneousRate(G50,$D$4:$D$21,$A$4:$A$21)</f>
        <v>3.1805730240084103E-2</v>
      </c>
      <c r="I50" s="27">
        <f>_xll.InstantaneousRate(G50,$D$4:$D$21,$B$4:$B$21)</f>
        <v>3.1742298254796096E-2</v>
      </c>
      <c r="J50" s="27">
        <f t="shared" si="0"/>
        <v>6.3431985288006643E-5</v>
      </c>
      <c r="K50" s="27">
        <f>_xll.LIBORForwardRate(G50,G50+0.25,$D$4:$D$21,$A$4:$A$21)</f>
        <v>3.1901660267635634E-2</v>
      </c>
      <c r="L50" s="27">
        <f>_xll.discFactor($F$1,G50,$D$4:$D$21,$B$4:$B$21)</f>
        <v>0.53684908784637919</v>
      </c>
    </row>
    <row r="51" spans="7:12" x14ac:dyDescent="0.2">
      <c r="G51" s="24">
        <v>25</v>
      </c>
      <c r="H51" s="27">
        <f>_xll.InstantaneousRate(G51,$D$4:$D$21,$A$4:$A$21)</f>
        <v>3.1629652675036216E-2</v>
      </c>
      <c r="I51" s="27">
        <f>_xll.InstantaneousRate(G51,$D$4:$D$21,$B$4:$B$21)</f>
        <v>3.1495129474798551E-2</v>
      </c>
      <c r="J51" s="27">
        <f t="shared" si="0"/>
        <v>1.3452320023766423E-4</v>
      </c>
      <c r="K51" s="27">
        <f>_xll.LIBORForwardRate(G51,G51+0.25,$D$4:$D$21,$A$4:$A$21)</f>
        <v>3.1682413003994547E-2</v>
      </c>
      <c r="L51" s="27">
        <f>_xll.discFactor($F$1,G51,$D$4:$D$21,$B$4:$B$21)</f>
        <v>0.52842369616990403</v>
      </c>
    </row>
    <row r="52" spans="7:12" x14ac:dyDescent="0.2">
      <c r="G52" s="24">
        <v>25.5</v>
      </c>
      <c r="H52" s="27">
        <f>_xll.InstantaneousRate(G52,$D$4:$D$21,$A$4:$A$21)</f>
        <v>3.1286150878486262E-2</v>
      </c>
      <c r="I52" s="27">
        <f>_xll.InstantaneousRate(G52,$D$4:$D$21,$B$4:$B$21)</f>
        <v>3.1019758822075607E-2</v>
      </c>
      <c r="J52" s="27">
        <f t="shared" si="0"/>
        <v>2.6639205641065464E-4</v>
      </c>
      <c r="K52" s="27">
        <f>_xll.LIBORForwardRate(G52,G52+0.25,$D$4:$D$21,$A$4:$A$21)</f>
        <v>3.1295652413427355E-2</v>
      </c>
      <c r="L52" s="27">
        <f>_xll.discFactor($F$1,G52,$D$4:$D$21,$B$4:$B$21)</f>
        <v>0.52022445162965814</v>
      </c>
    </row>
    <row r="53" spans="7:12" x14ac:dyDescent="0.2">
      <c r="G53" s="24">
        <v>26</v>
      </c>
      <c r="H53" s="27">
        <f>_xll.InstantaneousRate(G53,$D$4:$D$21,$A$4:$A$21)</f>
        <v>3.0788851510345126E-2</v>
      </c>
      <c r="I53" s="27">
        <f>_xll.InstantaneousRate(G53,$D$4:$D$21,$B$4:$B$21)</f>
        <v>3.0334547188330938E-2</v>
      </c>
      <c r="J53" s="27">
        <f t="shared" si="0"/>
        <v>4.5430432201418874E-4</v>
      </c>
      <c r="K53" s="27">
        <f>_xll.LIBORForwardRate(G53,G53+0.25,$D$4:$D$21,$A$4:$A$21)</f>
        <v>3.0759352670027162E-2</v>
      </c>
      <c r="L53" s="27">
        <f>_xll.discFactor($F$1,G53,$D$4:$D$21,$B$4:$B$21)</f>
        <v>0.51230166011511269</v>
      </c>
    </row>
    <row r="54" spans="7:12" x14ac:dyDescent="0.2">
      <c r="G54" s="24">
        <v>26.5</v>
      </c>
      <c r="H54" s="27">
        <f>_xll.InstantaneousRate(G54,$D$4:$D$21,$A$4:$A$21)</f>
        <v>3.0159216612371649E-2</v>
      </c>
      <c r="I54" s="27">
        <f>_xll.InstantaneousRate(G54,$D$4:$D$21,$B$4:$B$21)</f>
        <v>2.9468061018443039E-2</v>
      </c>
      <c r="J54" s="27">
        <f t="shared" si="0"/>
        <v>6.9115559392861001E-4</v>
      </c>
      <c r="K54" s="27">
        <f>_xll.LIBORForwardRate(G54,G54+0.25,$D$4:$D$21,$A$4:$A$21)</f>
        <v>3.009519692609075E-2</v>
      </c>
      <c r="L54" s="27">
        <f>_xll.discFactor($F$1,G54,$D$4:$D$21,$B$4:$B$21)</f>
        <v>0.50469587565093899</v>
      </c>
    </row>
    <row r="55" spans="7:12" x14ac:dyDescent="0.2">
      <c r="G55" s="24">
        <v>27</v>
      </c>
      <c r="H55" s="27">
        <f>_xll.InstantaneousRate(G55,$D$4:$D$21,$A$4:$A$21)</f>
        <v>2.9418708226324686E-2</v>
      </c>
      <c r="I55" s="27">
        <f>_xll.InstantaneousRate(G55,$D$4:$D$21,$B$4:$B$21)</f>
        <v>2.8448866757290411E-2</v>
      </c>
      <c r="J55" s="27">
        <f t="shared" si="0"/>
        <v>9.6984146903427576E-4</v>
      </c>
      <c r="K55" s="27">
        <f>_xll.LIBORForwardRate(G55,G55+0.25,$D$4:$D$21,$A$4:$A$21)</f>
        <v>2.9324867735123661E-2</v>
      </c>
      <c r="L55" s="27">
        <f>_xll.discFactor($F$1,G55,$D$4:$D$21,$B$4:$B$21)</f>
        <v>0.49743804778719686</v>
      </c>
    </row>
    <row r="56" spans="7:12" x14ac:dyDescent="0.2">
      <c r="G56" s="24">
        <v>27.5</v>
      </c>
      <c r="H56" s="27">
        <f>_xll.InstantaneousRate(G56,$D$4:$D$21,$A$4:$A$21)</f>
        <v>2.8588788393963071E-2</v>
      </c>
      <c r="I56" s="27">
        <f>_xll.InstantaneousRate(G56,$D$4:$D$21,$B$4:$B$21)</f>
        <v>2.7305530849751528E-2</v>
      </c>
      <c r="J56" s="27">
        <f t="shared" si="0"/>
        <v>1.2832575442115433E-3</v>
      </c>
      <c r="K56" s="27">
        <f>_xll.LIBORForwardRate(G56,G56+0.25,$D$4:$D$21,$A$4:$A$21)</f>
        <v>2.8470040765154359E-2</v>
      </c>
      <c r="L56" s="27">
        <f>_xll.discFactor($F$1,G56,$D$4:$D$21,$B$4:$B$21)</f>
        <v>0.49055031117465708</v>
      </c>
    </row>
    <row r="57" spans="7:12" x14ac:dyDescent="0.2">
      <c r="G57" s="24">
        <v>28</v>
      </c>
      <c r="H57" s="27">
        <f>_xll.InstantaneousRate(G57,$D$4:$D$21,$A$4:$A$21)</f>
        <v>2.7690919157045649E-2</v>
      </c>
      <c r="I57" s="27">
        <f>_xll.InstantaneousRate(G57,$D$4:$D$21,$B$4:$B$21)</f>
        <v>2.6066619740704872E-2</v>
      </c>
      <c r="J57" s="27">
        <f t="shared" si="0"/>
        <v>1.624299416340777E-3</v>
      </c>
      <c r="K57" s="27">
        <f>_xll.LIBORForwardRate(G57,G57+0.25,$D$4:$D$21,$A$4:$A$21)</f>
        <v>2.7552379677046268E-2</v>
      </c>
      <c r="L57" s="27">
        <f>_xll.discFactor($F$1,G57,$D$4:$D$21,$B$4:$B$21)</f>
        <v>0.48404671474831751</v>
      </c>
    </row>
    <row r="58" spans="7:12" x14ac:dyDescent="0.2">
      <c r="G58" s="24">
        <v>28.5</v>
      </c>
      <c r="H58" s="27">
        <f>_xll.InstantaneousRate(G58,$D$4:$D$21,$A$4:$A$21)</f>
        <v>2.6746562557331256E-2</v>
      </c>
      <c r="I58" s="27">
        <f>_xll.InstantaneousRate(G58,$D$4:$D$21,$B$4:$B$21)</f>
        <v>2.4760699875028939E-2</v>
      </c>
      <c r="J58" s="27">
        <f t="shared" si="0"/>
        <v>1.9858626823023168E-3</v>
      </c>
      <c r="K58" s="27">
        <f>_xll.LIBORForwardRate(G58,G58+0.25,$D$4:$D$21,$A$4:$A$21)</f>
        <v>2.6593532167616729E-2</v>
      </c>
      <c r="L58" s="27">
        <f>_xll.discFactor($F$1,G58,$D$4:$D$21,$B$4:$B$21)</f>
        <v>0.47793387845591839</v>
      </c>
    </row>
    <row r="59" spans="7:12" x14ac:dyDescent="0.2">
      <c r="G59" s="24">
        <v>29</v>
      </c>
      <c r="H59" s="27">
        <f>_xll.InstantaneousRate(G59,$D$4:$D$21,$A$4:$A$21)</f>
        <v>2.5777180636578748E-2</v>
      </c>
      <c r="I59" s="27">
        <f>_xll.InstantaneousRate(G59,$D$4:$D$21,$B$4:$B$21)</f>
        <v>2.3416337697602214E-2</v>
      </c>
      <c r="J59" s="27">
        <f t="shared" si="0"/>
        <v>2.3608429389765338E-3</v>
      </c>
      <c r="K59" s="27">
        <f>_xll.LIBORForwardRate(G59,G59+0.25,$D$4:$D$21,$A$4:$A$21)</f>
        <v>2.5615127176584096E-2</v>
      </c>
      <c r="L59" s="27">
        <f>_xll.discFactor($F$1,G59,$D$4:$D$21,$B$4:$B$21)</f>
        <v>0.47221157029762123</v>
      </c>
    </row>
    <row r="60" spans="7:12" x14ac:dyDescent="0.2">
      <c r="G60" s="24">
        <v>29.5</v>
      </c>
      <c r="H60" s="27">
        <f>_xll.InstantaneousRate(G60,$D$4:$D$21,$A$4:$A$21)</f>
        <v>2.4804235436546959E-2</v>
      </c>
      <c r="I60" s="27">
        <f>_xll.InstantaneousRate(G60,$D$4:$D$21,$B$4:$B$21)</f>
        <v>2.2062099653303174E-2</v>
      </c>
      <c r="J60" s="27">
        <f t="shared" si="0"/>
        <v>2.7421357832437855E-3</v>
      </c>
      <c r="K60" s="27">
        <f>_xll.LIBORForwardRate(G60,G60+0.25,$D$4:$D$21,$A$4:$A$21)</f>
        <v>2.4638773256000945E-2</v>
      </c>
      <c r="L60" s="27">
        <f>_xll.discFactor($F$1,G60,$D$4:$D$21,$B$4:$B$21)</f>
        <v>0.46687320053931036</v>
      </c>
    </row>
    <row r="61" spans="7:12" x14ac:dyDescent="0.2">
      <c r="G61" s="24">
        <v>30</v>
      </c>
      <c r="H61" s="27">
        <f>_xll.InstantaneousRate(G61,$D$4:$D$21,$A$4:$A$21)</f>
        <v>2.3849188998994731E-2</v>
      </c>
      <c r="I61" s="27">
        <f>_xll.InstantaneousRate(G61,$D$4:$D$21,$B$4:$B$21)</f>
        <v>2.0726552187010312E-2</v>
      </c>
      <c r="J61" s="27">
        <f t="shared" si="0"/>
        <v>3.1226368119844188E-3</v>
      </c>
      <c r="K61" s="27">
        <f>_xll.LIBORForwardRate(G61,G61+0.25,$D$4:$D$21,$A$4:$A$21)</f>
        <v>2.3685940206433997E-2</v>
      </c>
      <c r="L61" s="27">
        <f>_xll.discFactor($F$1,G61,$D$4:$D$21,$B$4:$B$21)</f>
        <v>0.46190623344021964</v>
      </c>
    </row>
  </sheetData>
  <mergeCells count="2">
    <mergeCell ref="A1:B2"/>
    <mergeCell ref="D1:D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Dates</vt:lpstr>
      <vt:lpstr>3M LIBOR  OIS</vt:lpstr>
      <vt:lpstr>Output</vt:lpstr>
    </vt:vector>
  </TitlesOfParts>
  <Company>ecm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andrewl</dc:creator>
  <cp:lastModifiedBy>Zhenfeng Liang</cp:lastModifiedBy>
  <dcterms:created xsi:type="dcterms:W3CDTF">2011-12-14T13:03:16Z</dcterms:created>
  <dcterms:modified xsi:type="dcterms:W3CDTF">2015-04-24T20:13:51Z</dcterms:modified>
</cp:coreProperties>
</file>